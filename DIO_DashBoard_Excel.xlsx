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arlos\Downloads\"/>
    </mc:Choice>
  </mc:AlternateContent>
  <xr:revisionPtr revIDLastSave="0" documentId="13_ncr:1_{64C20821-5E9C-4955-AB99-FECACB33F382}" xr6:coauthVersionLast="47" xr6:coauthVersionMax="47" xr10:uidLastSave="{00000000-0000-0000-0000-000000000000}"/>
  <bookViews>
    <workbookView xWindow="-120" yWindow="-120" windowWidth="20730" windowHeight="110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Renew">#N/A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4" l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I6" i="3"/>
  <c r="N2" i="2" a="1"/>
  <c r="N2" i="2" s="1"/>
  <c r="N3" i="2" a="1"/>
  <c r="N3" i="2" s="1"/>
  <c r="N4" i="2" a="1"/>
  <c r="N4" i="2" s="1"/>
  <c r="N5" i="2" a="1"/>
  <c r="N5" i="2" s="1"/>
  <c r="N6" i="2" a="1"/>
  <c r="N6" i="2" s="1"/>
  <c r="N7" i="2" a="1"/>
  <c r="N7" i="2" s="1"/>
  <c r="N8" i="2" a="1"/>
  <c r="N8" i="2" s="1"/>
  <c r="N9" i="2" a="1"/>
  <c r="N9" i="2" s="1"/>
  <c r="N10" i="2" a="1"/>
  <c r="N10" i="2" s="1"/>
  <c r="N11" i="2" a="1"/>
  <c r="N11" i="2" s="1"/>
  <c r="N12" i="2" a="1"/>
  <c r="N12" i="2" s="1"/>
  <c r="N13" i="2" a="1"/>
  <c r="N13" i="2" s="1"/>
  <c r="N14" i="2" a="1"/>
  <c r="N14" i="2" s="1"/>
  <c r="N15" i="2" a="1"/>
  <c r="N15" i="2" s="1"/>
  <c r="N16" i="2" a="1"/>
  <c r="N16" i="2" s="1"/>
  <c r="N17" i="2" a="1"/>
  <c r="N17" i="2" s="1"/>
  <c r="N18" i="2" a="1"/>
  <c r="N18" i="2" s="1"/>
  <c r="N19" i="2" a="1"/>
  <c r="N19" i="2" s="1"/>
  <c r="N20" i="2" a="1"/>
  <c r="N20" i="2" s="1"/>
  <c r="N21" i="2" a="1"/>
  <c r="N21" i="2" s="1"/>
  <c r="N22" i="2" a="1"/>
  <c r="N22" i="2" s="1"/>
  <c r="N23" i="2" a="1"/>
  <c r="N23" i="2" s="1"/>
  <c r="N24" i="2" a="1"/>
  <c r="N24" i="2" s="1"/>
  <c r="N25" i="2" a="1"/>
  <c r="N25" i="2" s="1"/>
  <c r="N26" i="2" a="1"/>
  <c r="N26" i="2" s="1"/>
  <c r="N27" i="2" a="1"/>
  <c r="N27" i="2" s="1"/>
  <c r="N28" i="2" a="1"/>
  <c r="N28" i="2" s="1"/>
  <c r="N29" i="2" a="1"/>
  <c r="N29" i="2" s="1"/>
  <c r="N30" i="2" a="1"/>
  <c r="N30" i="2" s="1"/>
  <c r="N31" i="2" a="1"/>
  <c r="N31" i="2" s="1"/>
  <c r="N32" i="2" a="1"/>
  <c r="N32" i="2" s="1"/>
  <c r="N33" i="2" a="1"/>
  <c r="N33" i="2" s="1"/>
  <c r="N34" i="2" a="1"/>
  <c r="N34" i="2" s="1"/>
  <c r="N35" i="2" a="1"/>
  <c r="N35" i="2" s="1"/>
  <c r="N36" i="2" a="1"/>
  <c r="N36" i="2" s="1"/>
  <c r="N37" i="2" a="1"/>
  <c r="N37" i="2" s="1"/>
  <c r="N38" i="2" a="1"/>
  <c r="N38" i="2" s="1"/>
  <c r="N39" i="2" a="1"/>
  <c r="N39" i="2" s="1"/>
  <c r="N40" i="2" a="1"/>
  <c r="N40" i="2" s="1"/>
  <c r="N41" i="2" a="1"/>
  <c r="N41" i="2" s="1"/>
  <c r="N42" i="2" a="1"/>
  <c r="N42" i="2" s="1"/>
  <c r="N43" i="2" a="1"/>
  <c r="N43" i="2" s="1"/>
  <c r="N44" i="2" a="1"/>
  <c r="N44" i="2" s="1"/>
  <c r="N45" i="2" a="1"/>
  <c r="N45" i="2" s="1"/>
  <c r="N46" i="2" a="1"/>
  <c r="N46" i="2" s="1"/>
  <c r="N47" i="2" a="1"/>
  <c r="N47" i="2" s="1"/>
  <c r="N48" i="2" a="1"/>
  <c r="N48" i="2" s="1"/>
  <c r="N49" i="2" a="1"/>
  <c r="N49" i="2" s="1"/>
  <c r="N50" i="2" a="1"/>
  <c r="N50" i="2" s="1"/>
  <c r="N51" i="2" a="1"/>
  <c r="N51" i="2" s="1"/>
  <c r="N52" i="2" a="1"/>
  <c r="N52" i="2" s="1"/>
  <c r="N53" i="2" a="1"/>
  <c r="N53" i="2" s="1"/>
  <c r="N54" i="2" a="1"/>
  <c r="N54" i="2" s="1"/>
  <c r="N55" i="2" a="1"/>
  <c r="N55" i="2" s="1"/>
  <c r="N56" i="2" a="1"/>
  <c r="N56" i="2" s="1"/>
  <c r="N57" i="2" a="1"/>
  <c r="N57" i="2" s="1"/>
  <c r="N58" i="2" a="1"/>
  <c r="N58" i="2" s="1"/>
  <c r="N59" i="2" a="1"/>
  <c r="N59" i="2" s="1"/>
  <c r="N60" i="2" a="1"/>
  <c r="N60" i="2" s="1"/>
  <c r="N61" i="2" a="1"/>
  <c r="N61" i="2" s="1"/>
  <c r="N62" i="2" a="1"/>
  <c r="N62" i="2" s="1"/>
  <c r="N63" i="2" a="1"/>
  <c r="N63" i="2" s="1"/>
  <c r="N64" i="2" a="1"/>
  <c r="N64" i="2" s="1"/>
  <c r="N65" i="2" a="1"/>
  <c r="N65" i="2" s="1"/>
  <c r="N66" i="2" a="1"/>
  <c r="N66" i="2" s="1"/>
  <c r="N67" i="2" a="1"/>
  <c r="N67" i="2" s="1"/>
  <c r="N68" i="2" a="1"/>
  <c r="N68" i="2" s="1"/>
  <c r="N69" i="2" a="1"/>
  <c r="N69" i="2" s="1"/>
  <c r="N70" i="2" a="1"/>
  <c r="N70" i="2" s="1"/>
  <c r="N71" i="2" a="1"/>
  <c r="N71" i="2" s="1"/>
  <c r="N72" i="2" a="1"/>
  <c r="N72" i="2" s="1"/>
  <c r="N73" i="2" a="1"/>
  <c r="N73" i="2" s="1"/>
  <c r="N74" i="2" a="1"/>
  <c r="N74" i="2" s="1"/>
  <c r="N75" i="2" a="1"/>
  <c r="N75" i="2" s="1"/>
  <c r="N76" i="2" a="1"/>
  <c r="N76" i="2" s="1"/>
  <c r="N77" i="2" a="1"/>
  <c r="N77" i="2" s="1"/>
  <c r="N78" i="2" a="1"/>
  <c r="N78" i="2" s="1"/>
  <c r="N79" i="2" a="1"/>
  <c r="N79" i="2" s="1"/>
  <c r="N80" i="2" a="1"/>
  <c r="N80" i="2" s="1"/>
  <c r="N81" i="2" a="1"/>
  <c r="N81" i="2" s="1"/>
  <c r="N82" i="2" a="1"/>
  <c r="N82" i="2" s="1"/>
  <c r="N83" i="2" a="1"/>
  <c r="N83" i="2" s="1"/>
  <c r="N84" i="2" a="1"/>
  <c r="N84" i="2" s="1"/>
  <c r="N85" i="2" a="1"/>
  <c r="N85" i="2" s="1"/>
  <c r="N86" i="2" a="1"/>
  <c r="N86" i="2" s="1"/>
  <c r="N87" i="2" a="1"/>
  <c r="N87" i="2" s="1"/>
  <c r="N88" i="2" a="1"/>
  <c r="N88" i="2" s="1"/>
  <c r="N89" i="2" a="1"/>
  <c r="N89" i="2" s="1"/>
  <c r="N90" i="2" a="1"/>
  <c r="N90" i="2" s="1"/>
  <c r="N91" i="2" a="1"/>
  <c r="N91" i="2" s="1"/>
  <c r="N92" i="2" a="1"/>
  <c r="N92" i="2" s="1"/>
  <c r="N93" i="2" a="1"/>
  <c r="N93" i="2" s="1"/>
  <c r="N94" i="2" a="1"/>
  <c r="N94" i="2" s="1"/>
  <c r="N95" i="2" a="1"/>
  <c r="N95" i="2" s="1"/>
  <c r="N96" i="2" a="1"/>
  <c r="N96" i="2" s="1"/>
  <c r="N97" i="2" a="1"/>
  <c r="N97" i="2" s="1"/>
  <c r="N98" i="2" a="1"/>
  <c r="N98" i="2" s="1"/>
  <c r="N99" i="2" a="1"/>
  <c r="N99" i="2" s="1"/>
  <c r="N100" i="2" a="1"/>
  <c r="N100" i="2" s="1"/>
  <c r="N101" i="2" a="1"/>
  <c r="N101" i="2" s="1"/>
  <c r="N102" i="2" a="1"/>
  <c r="N102" i="2" s="1"/>
  <c r="N103" i="2" a="1"/>
  <c r="N103" i="2" s="1"/>
  <c r="N104" i="2" a="1"/>
  <c r="N104" i="2" s="1"/>
  <c r="N105" i="2" a="1"/>
  <c r="N105" i="2" s="1"/>
  <c r="N106" i="2" a="1"/>
  <c r="N106" i="2" s="1"/>
  <c r="N107" i="2" a="1"/>
  <c r="N107" i="2" s="1"/>
  <c r="N108" i="2" a="1"/>
  <c r="N108" i="2" s="1"/>
  <c r="N109" i="2" a="1"/>
  <c r="N109" i="2" s="1"/>
  <c r="N110" i="2" a="1"/>
  <c r="N110" i="2" s="1"/>
  <c r="N111" i="2" a="1"/>
  <c r="N111" i="2" s="1"/>
  <c r="N112" i="2" a="1"/>
  <c r="N112" i="2" s="1"/>
  <c r="N113" i="2" a="1"/>
  <c r="N113" i="2" s="1"/>
  <c r="N114" i="2" a="1"/>
  <c r="N114" i="2" s="1"/>
  <c r="N115" i="2" a="1"/>
  <c r="N115" i="2" s="1"/>
  <c r="N116" i="2" a="1"/>
  <c r="N116" i="2" s="1"/>
  <c r="N117" i="2" a="1"/>
  <c r="N117" i="2" s="1"/>
  <c r="N118" i="2" a="1"/>
  <c r="N118" i="2" s="1"/>
  <c r="N119" i="2" a="1"/>
  <c r="N119" i="2" s="1"/>
  <c r="N120" i="2" a="1"/>
  <c r="N120" i="2" s="1"/>
  <c r="N121" i="2" a="1"/>
  <c r="N121" i="2" s="1"/>
  <c r="N122" i="2" a="1"/>
  <c r="N122" i="2" s="1"/>
  <c r="N123" i="2" a="1"/>
  <c r="N123" i="2" s="1"/>
  <c r="N124" i="2" a="1"/>
  <c r="N124" i="2" s="1"/>
  <c r="N125" i="2" a="1"/>
  <c r="N125" i="2" s="1"/>
  <c r="N126" i="2" a="1"/>
  <c r="N126" i="2" s="1"/>
  <c r="N127" i="2" a="1"/>
  <c r="N127" i="2" s="1"/>
  <c r="N128" i="2" a="1"/>
  <c r="N128" i="2" s="1"/>
  <c r="N129" i="2" a="1"/>
  <c r="N129" i="2" s="1"/>
  <c r="N130" i="2" a="1"/>
  <c r="N130" i="2" s="1"/>
  <c r="N131" i="2" a="1"/>
  <c r="N131" i="2" s="1"/>
  <c r="N132" i="2" a="1"/>
  <c r="N132" i="2" s="1"/>
  <c r="N133" i="2" a="1"/>
  <c r="N133" i="2" s="1"/>
  <c r="N134" i="2" a="1"/>
  <c r="N134" i="2" s="1"/>
  <c r="N135" i="2" a="1"/>
  <c r="N135" i="2" s="1"/>
  <c r="N136" i="2" a="1"/>
  <c r="N136" i="2" s="1"/>
  <c r="N137" i="2" a="1"/>
  <c r="N137" i="2" s="1"/>
  <c r="N138" i="2" a="1"/>
  <c r="N138" i="2" s="1"/>
  <c r="N139" i="2" a="1"/>
  <c r="N139" i="2" s="1"/>
  <c r="N140" i="2" a="1"/>
  <c r="N140" i="2" s="1"/>
  <c r="N141" i="2" a="1"/>
  <c r="N141" i="2" s="1"/>
  <c r="N142" i="2" a="1"/>
  <c r="N142" i="2" s="1"/>
  <c r="N143" i="2" a="1"/>
  <c r="N143" i="2" s="1"/>
  <c r="N144" i="2" a="1"/>
  <c r="N144" i="2" s="1"/>
  <c r="N145" i="2" a="1"/>
  <c r="N145" i="2" s="1"/>
  <c r="N146" i="2" a="1"/>
  <c r="N146" i="2" s="1"/>
  <c r="N147" i="2" a="1"/>
  <c r="N147" i="2" s="1"/>
  <c r="N148" i="2" a="1"/>
  <c r="N148" i="2" s="1"/>
  <c r="N149" i="2" a="1"/>
  <c r="N149" i="2" s="1"/>
  <c r="N150" i="2" a="1"/>
  <c r="N150" i="2" s="1"/>
  <c r="N151" i="2" a="1"/>
  <c r="N151" i="2" s="1"/>
  <c r="N152" i="2" a="1"/>
  <c r="N152" i="2" s="1"/>
  <c r="N153" i="2" a="1"/>
  <c r="N153" i="2" s="1"/>
  <c r="N154" i="2" a="1"/>
  <c r="N154" i="2" s="1"/>
  <c r="N155" i="2" a="1"/>
  <c r="N155" i="2" s="1"/>
  <c r="N156" i="2" a="1"/>
  <c r="N156" i="2" s="1"/>
  <c r="N157" i="2" a="1"/>
  <c r="N157" i="2" s="1"/>
  <c r="N158" i="2" a="1"/>
  <c r="N158" i="2" s="1"/>
  <c r="N159" i="2" a="1"/>
  <c r="N159" i="2" s="1"/>
  <c r="N160" i="2" a="1"/>
  <c r="N160" i="2" s="1"/>
  <c r="N161" i="2" a="1"/>
  <c r="N161" i="2" s="1"/>
  <c r="N162" i="2" a="1"/>
  <c r="N162" i="2" s="1"/>
  <c r="N163" i="2" a="1"/>
  <c r="N163" i="2" s="1"/>
  <c r="N164" i="2" a="1"/>
  <c r="N164" i="2" s="1"/>
  <c r="N165" i="2" a="1"/>
  <c r="N165" i="2" s="1"/>
  <c r="N166" i="2" a="1"/>
  <c r="N166" i="2" s="1"/>
  <c r="N167" i="2" a="1"/>
  <c r="N167" i="2" s="1"/>
  <c r="N168" i="2" a="1"/>
  <c r="N168" i="2" s="1"/>
  <c r="N169" i="2" a="1"/>
  <c r="N169" i="2" s="1"/>
  <c r="N170" i="2" a="1"/>
  <c r="N170" i="2" s="1"/>
  <c r="N171" i="2" a="1"/>
  <c r="N171" i="2" s="1"/>
  <c r="N172" i="2" a="1"/>
  <c r="N172" i="2" s="1"/>
  <c r="N173" i="2" a="1"/>
  <c r="N173" i="2" s="1"/>
  <c r="N174" i="2" a="1"/>
  <c r="N174" i="2" s="1"/>
  <c r="N175" i="2" a="1"/>
  <c r="N175" i="2" s="1"/>
  <c r="N176" i="2" a="1"/>
  <c r="N176" i="2"/>
  <c r="N177" i="2" a="1"/>
  <c r="N177" i="2" s="1"/>
  <c r="N178" i="2" a="1"/>
  <c r="N178" i="2" s="1"/>
  <c r="N179" i="2" a="1"/>
  <c r="N179" i="2" s="1"/>
  <c r="N180" i="2" a="1"/>
  <c r="N180" i="2" s="1"/>
  <c r="N181" i="2" a="1"/>
  <c r="N181" i="2" s="1"/>
  <c r="N182" i="2" a="1"/>
  <c r="N182" i="2" s="1"/>
  <c r="N183" i="2" a="1"/>
  <c r="N183" i="2" s="1"/>
  <c r="N184" i="2" a="1"/>
  <c r="N184" i="2" s="1"/>
  <c r="N185" i="2" a="1"/>
  <c r="N185" i="2" s="1"/>
  <c r="N186" i="2" a="1"/>
  <c r="N186" i="2" s="1"/>
  <c r="N187" i="2" a="1"/>
  <c r="N187" i="2" s="1"/>
  <c r="N188" i="2" a="1"/>
  <c r="N188" i="2" s="1"/>
  <c r="N189" i="2" a="1"/>
  <c r="N189" i="2" s="1"/>
  <c r="N190" i="2" a="1"/>
  <c r="N190" i="2" s="1"/>
  <c r="N191" i="2" a="1"/>
  <c r="N191" i="2" s="1"/>
  <c r="N192" i="2" a="1"/>
  <c r="N192" i="2" s="1"/>
  <c r="N193" i="2" a="1"/>
  <c r="N193" i="2" s="1"/>
  <c r="N194" i="2" a="1"/>
  <c r="N194" i="2"/>
  <c r="N195" i="2" a="1"/>
  <c r="N195" i="2" s="1"/>
  <c r="N196" i="2" a="1"/>
  <c r="N196" i="2" s="1"/>
  <c r="N197" i="2" a="1"/>
  <c r="N197" i="2" s="1"/>
  <c r="N198" i="2" a="1"/>
  <c r="N198" i="2" s="1"/>
  <c r="N199" i="2" a="1"/>
  <c r="N199" i="2" s="1"/>
  <c r="N200" i="2" a="1"/>
  <c r="N200" i="2"/>
  <c r="N201" i="2" a="1"/>
  <c r="N201" i="2" s="1"/>
  <c r="N202" i="2" a="1"/>
  <c r="N202" i="2" s="1"/>
  <c r="N203" i="2" a="1"/>
  <c r="N203" i="2" s="1"/>
  <c r="N204" i="2" a="1"/>
  <c r="N204" i="2" s="1"/>
  <c r="N205" i="2" a="1"/>
  <c r="N205" i="2" s="1"/>
  <c r="N206" i="2" a="1"/>
  <c r="N206" i="2" s="1"/>
  <c r="N207" i="2" a="1"/>
  <c r="N207" i="2" s="1"/>
  <c r="N208" i="2" a="1"/>
  <c r="N208" i="2" s="1"/>
  <c r="N209" i="2" a="1"/>
  <c r="N209" i="2" s="1"/>
  <c r="N210" i="2" a="1"/>
  <c r="N210" i="2" s="1"/>
  <c r="N211" i="2" a="1"/>
  <c r="N211" i="2" s="1"/>
  <c r="N212" i="2" a="1"/>
  <c r="N212" i="2" s="1"/>
  <c r="N213" i="2" a="1"/>
  <c r="N213" i="2" s="1"/>
  <c r="N214" i="2" a="1"/>
  <c r="N214" i="2" s="1"/>
  <c r="N215" i="2" a="1"/>
  <c r="N215" i="2" s="1"/>
  <c r="N216" i="2" a="1"/>
  <c r="N216" i="2" s="1"/>
  <c r="N217" i="2" a="1"/>
  <c r="N217" i="2" s="1"/>
  <c r="N218" i="2" a="1"/>
  <c r="N218" i="2" s="1"/>
  <c r="N219" i="2" a="1"/>
  <c r="N219" i="2" s="1"/>
  <c r="N220" i="2" a="1"/>
  <c r="N220" i="2" s="1"/>
  <c r="N221" i="2" a="1"/>
  <c r="N221" i="2" s="1"/>
  <c r="N222" i="2" a="1"/>
  <c r="N222" i="2" s="1"/>
  <c r="N223" i="2" a="1"/>
  <c r="N223" i="2" s="1"/>
  <c r="N224" i="2" a="1"/>
  <c r="N224" i="2" s="1"/>
  <c r="N225" i="2" a="1"/>
  <c r="N225" i="2" s="1"/>
  <c r="N226" i="2" a="1"/>
  <c r="N226" i="2" s="1"/>
  <c r="N227" i="2" a="1"/>
  <c r="N227" i="2" s="1"/>
  <c r="N228" i="2" a="1"/>
  <c r="N228" i="2" s="1"/>
  <c r="N229" i="2" a="1"/>
  <c r="N229" i="2" s="1"/>
  <c r="N230" i="2" a="1"/>
  <c r="N230" i="2" s="1"/>
  <c r="N231" i="2" a="1"/>
  <c r="N231" i="2" s="1"/>
  <c r="N232" i="2" a="1"/>
  <c r="N232" i="2" s="1"/>
  <c r="N233" i="2" a="1"/>
  <c r="N233" i="2" s="1"/>
  <c r="N234" i="2" a="1"/>
  <c r="N234" i="2" s="1"/>
  <c r="N235" i="2" a="1"/>
  <c r="N235" i="2" s="1"/>
  <c r="N236" i="2" a="1"/>
  <c r="N236" i="2" s="1"/>
  <c r="N237" i="2" a="1"/>
  <c r="N237" i="2" s="1"/>
  <c r="N238" i="2" a="1"/>
  <c r="N238" i="2" s="1"/>
  <c r="N239" i="2" a="1"/>
  <c r="N239" i="2" s="1"/>
  <c r="N240" i="2" a="1"/>
  <c r="N240" i="2" s="1"/>
  <c r="N241" i="2" a="1"/>
  <c r="N241" i="2" s="1"/>
  <c r="N242" i="2" a="1"/>
  <c r="N242" i="2" s="1"/>
  <c r="N243" i="2" a="1"/>
  <c r="N243" i="2" s="1"/>
  <c r="N244" i="2" a="1"/>
  <c r="N244" i="2" s="1"/>
  <c r="N245" i="2" a="1"/>
  <c r="N245" i="2" s="1"/>
  <c r="N246" i="2" a="1"/>
  <c r="N246" i="2" s="1"/>
  <c r="N247" i="2" a="1"/>
  <c r="N247" i="2" s="1"/>
  <c r="N248" i="2" a="1"/>
  <c r="N248" i="2" s="1"/>
  <c r="N249" i="2" a="1"/>
  <c r="N249" i="2" s="1"/>
  <c r="N250" i="2" a="1"/>
  <c r="N250" i="2" s="1"/>
  <c r="N251" i="2" a="1"/>
  <c r="N251" i="2" s="1"/>
  <c r="N252" i="2" a="1"/>
  <c r="N252" i="2" s="1"/>
  <c r="N253" i="2" a="1"/>
  <c r="N253" i="2" s="1"/>
  <c r="N254" i="2" a="1"/>
  <c r="N254" i="2" s="1"/>
  <c r="N255" i="2" a="1"/>
  <c r="N255" i="2" s="1"/>
  <c r="N256" i="2" a="1"/>
  <c r="N256" i="2" s="1"/>
  <c r="N257" i="2" a="1"/>
  <c r="N257" i="2" s="1"/>
  <c r="N258" i="2" a="1"/>
  <c r="N258" i="2" s="1"/>
  <c r="N259" i="2" a="1"/>
  <c r="N259" i="2" s="1"/>
  <c r="N260" i="2" a="1"/>
  <c r="N260" i="2" s="1"/>
  <c r="N261" i="2" a="1"/>
  <c r="N261" i="2" s="1"/>
  <c r="N262" i="2" a="1"/>
  <c r="N262" i="2" s="1"/>
  <c r="N263" i="2" a="1"/>
  <c r="N263" i="2" s="1"/>
  <c r="N264" i="2" a="1"/>
  <c r="N264" i="2" s="1"/>
  <c r="N265" i="2" a="1"/>
  <c r="N265" i="2" s="1"/>
  <c r="N266" i="2" a="1"/>
  <c r="N266" i="2" s="1"/>
  <c r="N267" i="2" a="1"/>
  <c r="N267" i="2" s="1"/>
  <c r="N268" i="2" a="1"/>
  <c r="N268" i="2" s="1"/>
  <c r="N269" i="2" a="1"/>
  <c r="N269" i="2" s="1"/>
  <c r="N270" i="2" a="1"/>
  <c r="N270" i="2" s="1"/>
  <c r="N271" i="2" a="1"/>
  <c r="N271" i="2" s="1"/>
  <c r="N272" i="2" a="1"/>
  <c r="N272" i="2" s="1"/>
  <c r="N273" i="2" a="1"/>
  <c r="N273" i="2" s="1"/>
  <c r="N274" i="2" a="1"/>
  <c r="N274" i="2" s="1"/>
  <c r="N275" i="2" a="1"/>
  <c r="N275" i="2" s="1"/>
  <c r="N276" i="2" a="1"/>
  <c r="N276" i="2" s="1"/>
  <c r="N277" i="2" a="1"/>
  <c r="N277" i="2" s="1"/>
  <c r="N278" i="2" a="1"/>
  <c r="N278" i="2" s="1"/>
  <c r="N279" i="2" a="1"/>
  <c r="N279" i="2" s="1"/>
  <c r="N280" i="2" a="1"/>
  <c r="N280" i="2" s="1"/>
  <c r="N281" i="2" a="1"/>
  <c r="N281" i="2" s="1"/>
  <c r="N282" i="2" a="1"/>
  <c r="N282" i="2" s="1"/>
  <c r="N283" i="2" a="1"/>
  <c r="N283" i="2" s="1"/>
  <c r="N284" i="2" a="1"/>
  <c r="N284" i="2" s="1"/>
  <c r="N285" i="2" a="1"/>
  <c r="N285" i="2" s="1"/>
  <c r="N286" i="2" a="1"/>
  <c r="N286" i="2" s="1"/>
  <c r="N287" i="2" a="1"/>
  <c r="N287" i="2" s="1"/>
  <c r="N288" i="2" a="1"/>
  <c r="N288" i="2" s="1"/>
  <c r="N289" i="2" a="1"/>
  <c r="N289" i="2" s="1"/>
  <c r="N290" i="2" a="1"/>
  <c r="N290" i="2" s="1"/>
  <c r="N291" i="2" a="1"/>
  <c r="N291" i="2" s="1"/>
  <c r="N292" i="2" a="1"/>
  <c r="N292" i="2" s="1"/>
  <c r="N293" i="2" a="1"/>
  <c r="N293" i="2" s="1"/>
  <c r="N294" i="2" a="1"/>
  <c r="N294" i="2" s="1"/>
  <c r="N295" i="2" a="1"/>
  <c r="N295" i="2" s="1"/>
  <c r="N296" i="2" a="1"/>
  <c r="N296" i="2" s="1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S8" i="4"/>
  <c r="O8" i="4"/>
  <c r="J8" i="4"/>
  <c r="F8" i="4"/>
  <c r="O2" i="2" l="1"/>
  <c r="O241" i="2"/>
  <c r="O37" i="2"/>
  <c r="O253" i="2"/>
  <c r="O205" i="2"/>
  <c r="O49" i="2"/>
  <c r="O288" i="2"/>
  <c r="O276" i="2"/>
  <c r="O264" i="2"/>
  <c r="O252" i="2"/>
  <c r="O240" i="2"/>
  <c r="O228" i="2"/>
  <c r="O216" i="2"/>
  <c r="O204" i="2"/>
  <c r="O192" i="2"/>
  <c r="O180" i="2"/>
  <c r="O168" i="2"/>
  <c r="O156" i="2"/>
  <c r="O144" i="2"/>
  <c r="O132" i="2"/>
  <c r="O120" i="2"/>
  <c r="O108" i="2"/>
  <c r="O96" i="2"/>
  <c r="O84" i="2"/>
  <c r="O72" i="2"/>
  <c r="O60" i="2"/>
  <c r="O48" i="2"/>
  <c r="O36" i="2"/>
  <c r="O24" i="2"/>
  <c r="O12" i="2"/>
  <c r="O265" i="2"/>
  <c r="O217" i="2"/>
  <c r="O181" i="2"/>
  <c r="O97" i="2"/>
  <c r="O73" i="2"/>
  <c r="O25" i="2"/>
  <c r="O275" i="2"/>
  <c r="O263" i="2"/>
  <c r="O251" i="2"/>
  <c r="O239" i="2"/>
  <c r="O215" i="2"/>
  <c r="O203" i="2"/>
  <c r="O191" i="2"/>
  <c r="O179" i="2"/>
  <c r="O167" i="2"/>
  <c r="O155" i="2"/>
  <c r="O143" i="2"/>
  <c r="O131" i="2"/>
  <c r="O119" i="2"/>
  <c r="O107" i="2"/>
  <c r="O95" i="2"/>
  <c r="O83" i="2"/>
  <c r="O71" i="2"/>
  <c r="O59" i="2"/>
  <c r="O47" i="2"/>
  <c r="O35" i="2"/>
  <c r="O23" i="2"/>
  <c r="O11" i="2"/>
  <c r="O277" i="2"/>
  <c r="O229" i="2"/>
  <c r="O193" i="2"/>
  <c r="O109" i="2"/>
  <c r="O85" i="2"/>
  <c r="O61" i="2"/>
  <c r="O13" i="2"/>
  <c r="O287" i="2"/>
  <c r="O227" i="2"/>
  <c r="O286" i="2"/>
  <c r="O274" i="2"/>
  <c r="O262" i="2"/>
  <c r="O250" i="2"/>
  <c r="O238" i="2"/>
  <c r="O226" i="2"/>
  <c r="O214" i="2"/>
  <c r="O202" i="2"/>
  <c r="O190" i="2"/>
  <c r="O178" i="2"/>
  <c r="O166" i="2"/>
  <c r="O154" i="2"/>
  <c r="O142" i="2"/>
  <c r="O130" i="2"/>
  <c r="O118" i="2"/>
  <c r="O106" i="2"/>
  <c r="O94" i="2"/>
  <c r="O82" i="2"/>
  <c r="O70" i="2"/>
  <c r="O58" i="2"/>
  <c r="O46" i="2"/>
  <c r="O34" i="2"/>
  <c r="O22" i="2"/>
  <c r="O10" i="2"/>
  <c r="O289" i="2"/>
  <c r="O133" i="2"/>
  <c r="O285" i="2"/>
  <c r="O261" i="2"/>
  <c r="O225" i="2"/>
  <c r="O189" i="2"/>
  <c r="O153" i="2"/>
  <c r="O117" i="2"/>
  <c r="O105" i="2"/>
  <c r="O69" i="2"/>
  <c r="O33" i="2"/>
  <c r="O296" i="2"/>
  <c r="O284" i="2"/>
  <c r="O272" i="2"/>
  <c r="O260" i="2"/>
  <c r="O248" i="2"/>
  <c r="O236" i="2"/>
  <c r="O224" i="2"/>
  <c r="O212" i="2"/>
  <c r="O200" i="2"/>
  <c r="O188" i="2"/>
  <c r="O176" i="2"/>
  <c r="O164" i="2"/>
  <c r="O152" i="2"/>
  <c r="O140" i="2"/>
  <c r="O128" i="2"/>
  <c r="O116" i="2"/>
  <c r="O104" i="2"/>
  <c r="O92" i="2"/>
  <c r="O80" i="2"/>
  <c r="O68" i="2"/>
  <c r="O56" i="2"/>
  <c r="O44" i="2"/>
  <c r="O32" i="2"/>
  <c r="O20" i="2"/>
  <c r="O8" i="2"/>
  <c r="O121" i="2"/>
  <c r="O273" i="2"/>
  <c r="O237" i="2"/>
  <c r="O201" i="2"/>
  <c r="O165" i="2"/>
  <c r="O129" i="2"/>
  <c r="O93" i="2"/>
  <c r="O57" i="2"/>
  <c r="O21" i="2"/>
  <c r="O295" i="2"/>
  <c r="O283" i="2"/>
  <c r="O271" i="2"/>
  <c r="O259" i="2"/>
  <c r="O247" i="2"/>
  <c r="O235" i="2"/>
  <c r="O223" i="2"/>
  <c r="O211" i="2"/>
  <c r="O199" i="2"/>
  <c r="O187" i="2"/>
  <c r="O175" i="2"/>
  <c r="O163" i="2"/>
  <c r="O151" i="2"/>
  <c r="O139" i="2"/>
  <c r="O127" i="2"/>
  <c r="O115" i="2"/>
  <c r="O103" i="2"/>
  <c r="O91" i="2"/>
  <c r="O79" i="2"/>
  <c r="O67" i="2"/>
  <c r="O55" i="2"/>
  <c r="O43" i="2"/>
  <c r="O31" i="2"/>
  <c r="O19" i="2"/>
  <c r="O7" i="2"/>
  <c r="O249" i="2"/>
  <c r="O213" i="2"/>
  <c r="O177" i="2"/>
  <c r="O141" i="2"/>
  <c r="O81" i="2"/>
  <c r="O45" i="2"/>
  <c r="O9" i="2"/>
  <c r="O294" i="2"/>
  <c r="O282" i="2"/>
  <c r="O270" i="2"/>
  <c r="O258" i="2"/>
  <c r="O246" i="2"/>
  <c r="O234" i="2"/>
  <c r="O222" i="2"/>
  <c r="O210" i="2"/>
  <c r="O198" i="2"/>
  <c r="O186" i="2"/>
  <c r="O174" i="2"/>
  <c r="O162" i="2"/>
  <c r="O150" i="2"/>
  <c r="O138" i="2"/>
  <c r="O126" i="2"/>
  <c r="O114" i="2"/>
  <c r="O102" i="2"/>
  <c r="O90" i="2"/>
  <c r="O78" i="2"/>
  <c r="O66" i="2"/>
  <c r="O54" i="2"/>
  <c r="O42" i="2"/>
  <c r="O30" i="2"/>
  <c r="O18" i="2"/>
  <c r="O6" i="2"/>
  <c r="O169" i="2"/>
  <c r="O293" i="2"/>
  <c r="O281" i="2"/>
  <c r="O269" i="2"/>
  <c r="O257" i="2"/>
  <c r="O245" i="2"/>
  <c r="O233" i="2"/>
  <c r="O221" i="2"/>
  <c r="O209" i="2"/>
  <c r="O197" i="2"/>
  <c r="O185" i="2"/>
  <c r="O173" i="2"/>
  <c r="O161" i="2"/>
  <c r="O149" i="2"/>
  <c r="O137" i="2"/>
  <c r="O125" i="2"/>
  <c r="O113" i="2"/>
  <c r="O101" i="2"/>
  <c r="O89" i="2"/>
  <c r="O77" i="2"/>
  <c r="O65" i="2"/>
  <c r="O53" i="2"/>
  <c r="O41" i="2"/>
  <c r="O29" i="2"/>
  <c r="O17" i="2"/>
  <c r="O5" i="2"/>
  <c r="O145" i="2"/>
  <c r="O280" i="2"/>
  <c r="O256" i="2"/>
  <c r="O232" i="2"/>
  <c r="O208" i="2"/>
  <c r="O184" i="2"/>
  <c r="O160" i="2"/>
  <c r="O136" i="2"/>
  <c r="O100" i="2"/>
  <c r="O76" i="2"/>
  <c r="O52" i="2"/>
  <c r="O40" i="2"/>
  <c r="O4" i="2"/>
  <c r="O291" i="2"/>
  <c r="O279" i="2"/>
  <c r="O267" i="2"/>
  <c r="O255" i="2"/>
  <c r="O243" i="2"/>
  <c r="O231" i="2"/>
  <c r="O219" i="2"/>
  <c r="O207" i="2"/>
  <c r="O195" i="2"/>
  <c r="O183" i="2"/>
  <c r="O171" i="2"/>
  <c r="O159" i="2"/>
  <c r="O147" i="2"/>
  <c r="O135" i="2"/>
  <c r="O123" i="2"/>
  <c r="O111" i="2"/>
  <c r="O99" i="2"/>
  <c r="O87" i="2"/>
  <c r="O75" i="2"/>
  <c r="O63" i="2"/>
  <c r="O51" i="2"/>
  <c r="O39" i="2"/>
  <c r="O27" i="2"/>
  <c r="O15" i="2"/>
  <c r="O3" i="2"/>
  <c r="O157" i="2"/>
  <c r="O292" i="2"/>
  <c r="O268" i="2"/>
  <c r="O244" i="2"/>
  <c r="O220" i="2"/>
  <c r="O196" i="2"/>
  <c r="O172" i="2"/>
  <c r="O148" i="2"/>
  <c r="O124" i="2"/>
  <c r="O112" i="2"/>
  <c r="O88" i="2"/>
  <c r="O64" i="2"/>
  <c r="O28" i="2"/>
  <c r="O16" i="2"/>
  <c r="O290" i="2"/>
  <c r="O278" i="2"/>
  <c r="O266" i="2"/>
  <c r="O254" i="2"/>
  <c r="O242" i="2"/>
  <c r="O230" i="2"/>
  <c r="O218" i="2"/>
  <c r="O206" i="2"/>
  <c r="O194" i="2"/>
  <c r="O182" i="2"/>
  <c r="O170" i="2"/>
  <c r="O158" i="2"/>
  <c r="O146" i="2"/>
  <c r="O134" i="2"/>
  <c r="O122" i="2"/>
  <c r="O110" i="2"/>
  <c r="O98" i="2"/>
  <c r="O86" i="2"/>
  <c r="O74" i="2"/>
  <c r="O62" i="2"/>
  <c r="O50" i="2"/>
  <c r="O38" i="2"/>
  <c r="O26" i="2"/>
  <c r="O1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<sst xmlns="http://schemas.openxmlformats.org/spreadsheetml/2006/main" count="2050" uniqueCount="341">
  <si>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</si>
  <si>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</si>
  <si>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</si>
  <si>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</si>
  <si>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</si>
  <si>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</si>
  <si>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</si>
  <si>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</si>
  <si>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</si>
  <si>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</si>
  <si>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</si>
  <si>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</si>
  <si>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</si>
  <si>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</si>
  <si>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</si>
  <si>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</si>
  <si>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</si>
  <si>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</si>
  <si>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</si>
  <si>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</si>
  <si>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</si>
  <si>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</si>
  <si>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</si>
  <si>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</si>
  <si>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</si>
  <si>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</si>
  <si>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</si>
  <si>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</si>
  <si>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</si>
  <si>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</si>
  <si>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</si>
  <si>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</si>
  <si>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</si>
  <si>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</si>
  <si>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</si>
  <si>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</si>
  <si>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</si>
  <si>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</si>
  <si>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</si>
  <si>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</si>
  <si>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</si>
  <si>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</si>
  <si>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</si>
  <si>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</si>
  <si>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</si>
  <si>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</si>
  <si>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</si>
  <si>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</si>
  <si>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</si>
  <si>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</si>
  <si>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</si>
  <si>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</si>
  <si>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</si>
  <si>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</si>
  <si>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</si>
  <si>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</si>
  <si>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</si>
  <si>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</si>
  <si>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</si>
  <si>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</si>
  <si>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</si>
  <si>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</si>
  <si>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</si>
  <si>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</si>
  <si>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</si>
  <si>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</si>
  <si>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</si>
  <si>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</si>
  <si>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</si>
  <si>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</si>
  <si>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</si>
  <si>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</si>
  <si>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</si>
  <si>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</si>
  <si>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</si>
  <si>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</si>
  <si>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</si>
  <si>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</si>
  <si>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</si>
  <si>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</si>
  <si>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</si>
  <si>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</si>
  <si>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</si>
  <si>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</si>
  <si>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</si>
  <si>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</si>
  <si>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</si>
  <si>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</si>
  <si>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</si>
  <si>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</si>
  <si>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</si>
  <si>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</si>
  <si>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</si>
  <si>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</si>
  <si>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</si>
  <si>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</si>
  <si>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</si>
  <si>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</si>
  <si>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</si>
  <si>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</si>
  <si>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</si>
  <si>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</si>
  <si>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</si>
  <si>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</si>
  <si>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</si>
  <si>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</si>
  <si>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</si>
  <si>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</si>
  <si>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</si>
  <si>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</si>
  <si>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</si>
  <si>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</si>
  <si>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</si>
  <si>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</si>
  <si>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</si>
  <si>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</si>
  <si>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</si>
  <si>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</si>
  <si>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</si>
  <si>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</si>
  <si>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</si>
  <si>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</si>
  <si>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</si>
  <si>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</si>
  <si>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</si>
  <si>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</si>
  <si>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</si>
  <si>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</si>
  <si>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</si>
  <si>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</si>
  <si>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</si>
  <si>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</si>
  <si>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</si>
  <si>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</si>
  <si>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</si>
  <si>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</si>
  <si>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</si>
  <si>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</si>
  <si>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</si>
  <si>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</si>
  <si>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</si>
  <si>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</si>
  <si>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</si>
  <si>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</si>
  <si>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</si>
  <si>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</si>
  <si>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</si>
  <si>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</si>
  <si>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</si>
  <si>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</si>
  <si>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</si>
  <si>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</si>
  <si>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</si>
  <si>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</si>
  <si>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</si>
  <si>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</si>
  <si>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</si>
  <si>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</si>
  <si>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</si>
  <si>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</si>
  <si>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</si>
  <si>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</si>
  <si>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</si>
  <si>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</si>
  <si>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</si>
  <si>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</si>
  <si>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</si>
  <si>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</si>
  <si>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</si>
  <si>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</si>
  <si>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</si>
  <si>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</si>
  <si>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</si>
  <si>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</si>
  <si>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</si>
  <si>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</si>
  <si>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</si>
  <si>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</si>
  <si>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</si>
  <si>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</si>
  <si>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</si>
  <si>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</si>
  <si>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</si>
  <si>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</si>
  <si>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</si>
  <si>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</si>
  <si>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</si>
  <si>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</si>
  <si>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</si>
  <si>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</si>
  <si>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</si>
  <si>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</si>
  <si>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</si>
  <si>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</si>
  <si>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</si>
  <si>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</si>
  <si>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</si>
  <si>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</si>
  <si>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</si>
  <si>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</si>
  <si>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</si>
  <si>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</si>
  <si>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</si>
  <si>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</si>
  <si>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</si>
  <si>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</si>
  <si>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</si>
  <si>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</si>
  <si>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</si>
  <si>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</si>
  <si>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</si>
  <si>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</si>
  <si>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</si>
  <si>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</si>
  <si>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</si>
  <si>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</si>
  <si>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</si>
  <si>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</si>
  <si>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</si>
  <si>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</si>
  <si>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</si>
  <si>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</si>
  <si>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</si>
  <si>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</si>
  <si>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</si>
  <si>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</si>
  <si>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</si>
  <si>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</si>
  <si>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</si>
  <si>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</si>
  <si>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</si>
  <si>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</si>
  <si>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</si>
  <si>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</si>
  <si>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</si>
  <si>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</si>
  <si>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</si>
  <si>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</si>
  <si>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</si>
  <si>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</si>
  <si>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</si>
  <si>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</si>
  <si>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</si>
  <si>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</si>
  <si>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</si>
  <si>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</si>
  <si>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</si>
  <si>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</si>
  <si>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</si>
  <si>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</si>
  <si>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</si>
  <si>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</si>
  <si>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</si>
  <si>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</si>
  <si>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</si>
  <si>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</si>
  <si>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</si>
  <si>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</si>
  <si>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</si>
  <si>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</si>
  <si>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</si>
  <si>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</si>
  <si>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</si>
  <si>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</si>
  <si>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</si>
  <si>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</si>
  <si>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</si>
  <si>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</si>
  <si>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</si>
  <si>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</si>
  <si>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</si>
  <si>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</si>
  <si>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</si>
  <si>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</si>
  <si>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</si>
  <si>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</si>
  <si>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</si>
  <si>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</si>
  <si>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</si>
  <si>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</si>
  <si>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</si>
  <si>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</si>
  <si>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</si>
  <si>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</si>
  <si>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</si>
  <si>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</si>
  <si>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</si>
  <si>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</si>
  <si>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</si>
  <si>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</si>
  <si>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</si>
  <si>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</si>
  <si>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</si>
  <si>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</si>
  <si>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</si>
  <si>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</si>
  <si>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</si>
  <si>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</si>
  <si>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</si>
  <si>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</si>
  <si>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</si>
  <si>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</si>
  <si>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</si>
  <si>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</si>
  <si>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</si>
  <si>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</si>
  <si>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</si>
  <si>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</si>
  <si>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</si>
  <si>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</si>
  <si>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</si>
  <si>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</si>
  <si>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</si>
  <si>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Visões de Negócios</t>
  </si>
  <si>
    <t>Rótulos de Linha</t>
  </si>
  <si>
    <t>Total Geral</t>
  </si>
  <si>
    <t>Contagem de Name</t>
  </si>
  <si>
    <t>#224386</t>
  </si>
  <si>
    <t>Side Background</t>
  </si>
  <si>
    <t>Negative Zone</t>
  </si>
  <si>
    <t>Expiration</t>
  </si>
  <si>
    <t>Acquisition</t>
  </si>
  <si>
    <t>#2FE9FD</t>
  </si>
  <si>
    <t>Graphic</t>
  </si>
  <si>
    <t>Month</t>
  </si>
  <si>
    <t>#CDEAF7</t>
  </si>
  <si>
    <t>Selected Item</t>
  </si>
  <si>
    <t>Expiration_date</t>
  </si>
  <si>
    <t>Soma de Total Value</t>
  </si>
  <si>
    <t>Subscription Total Value</t>
  </si>
  <si>
    <t>Soma de Subscription Price</t>
  </si>
  <si>
    <t>#E8E8E8</t>
  </si>
  <si>
    <t>Soma de EA Play Season Pass</t>
  </si>
  <si>
    <t>Soma de Minecraft Season Pass Price</t>
  </si>
  <si>
    <t>Soma de Coupon Value</t>
  </si>
  <si>
    <t>Coupons</t>
  </si>
  <si>
    <t>Subscription Sales Growth</t>
  </si>
  <si>
    <t>Expiration Subscriptions</t>
  </si>
  <si>
    <t>Renew</t>
  </si>
  <si>
    <t>X-Box Subscription Data</t>
  </si>
  <si>
    <t>Period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</si>
</sst>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[$-409]\ mmm/yy"/>
    <numFmt numFmtId="165" formatCode="&quot;R$&quot;\ #,##0.00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rgb="FF224386"/>
      <name val="Aptos Narrow"/>
      <family val="2"/>
      <scheme val="minor"/>
    </font>
    <font>
      <sz val="11"/>
      <color theme="0"/>
      <name val="Segoe UI Black"/>
      <family val="2"/>
    </font>
    <font>
      <sz val="11"/>
      <color theme="0"/>
      <name val="Segoe UI Light"/>
      <family val="2"/>
    </font>
    <font>
      <sz val="22"/>
      <color theme="0"/>
      <name val="Segoe UI Black"/>
      <family val="2"/>
    </font>
  </fonts>
  <fills count="1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224386"/>
        <bgColor indexed="64"/>
      </patternFill>
    </fill>
    <fill>
      <patternFill patternType="solid">
        <fgColor rgb="FF2FE9FD"/>
        <bgColor indexed="64"/>
      </patternFill>
    </fill>
    <fill>
      <patternFill patternType="solid">
        <fgColor rgb="FFCDEAF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8" borderId="0" xfId="0" applyFill="1"/>
    <xf numFmtId="0" fontId="4" fillId="8" borderId="0" xfId="0" applyFont="1" applyFill="1"/>
    <xf numFmtId="0" fontId="0" fillId="9" borderId="0" xfId="0" applyFill="1"/>
    <xf numFmtId="164" fontId="0" fillId="0" borderId="0" xfId="0" applyNumberFormat="1" applyAlignment="1">
      <alignment horizontal="left"/>
    </xf>
    <xf numFmtId="164" fontId="0" fillId="0" borderId="0" xfId="2" applyNumberFormat="1" applyFont="1" applyAlignment="1">
      <alignment horizontal="center" vertical="center" wrapText="1"/>
    </xf>
    <xf numFmtId="0" fontId="0" fillId="10" borderId="0" xfId="0" applyFill="1"/>
    <xf numFmtId="14" fontId="0" fillId="0" borderId="0" xfId="0" applyNumberFormat="1"/>
    <xf numFmtId="44" fontId="0" fillId="0" borderId="0" xfId="0" applyNumberFormat="1"/>
    <xf numFmtId="0" fontId="0" fillId="11" borderId="0" xfId="0" applyFill="1"/>
    <xf numFmtId="0" fontId="0" fillId="12" borderId="0" xfId="0" applyFill="1"/>
    <xf numFmtId="165" fontId="0" fillId="11" borderId="0" xfId="0" applyNumberFormat="1" applyFill="1" applyAlignment="1">
      <alignment horizontal="center"/>
    </xf>
    <xf numFmtId="14" fontId="7" fillId="8" borderId="0" xfId="0" applyNumberFormat="1" applyFont="1" applyFill="1" applyAlignment="1">
      <alignment horizontal="center"/>
    </xf>
    <xf numFmtId="0" fontId="0" fillId="13" borderId="0" xfId="0" applyFill="1"/>
    <xf numFmtId="0" fontId="6" fillId="8" borderId="0" xfId="0" applyFont="1" applyFill="1" applyAlignment="1">
      <alignment horizontal="center"/>
    </xf>
    <xf numFmtId="0" fontId="8" fillId="8" borderId="0" xfId="0" applyFont="1" applyFill="1" applyAlignment="1">
      <alignment horizontal="center" vertical="center"/>
    </xf>
    <xf numFmtId="165" fontId="5" fillId="13" borderId="0" xfId="0" applyNumberFormat="1" applyFont="1" applyFill="1" applyAlignment="1">
      <alignment horizontal="center" vertical="center" shrinkToFit="1"/>
    </xf>
    <xf numFmtId="0" fontId="6" fillId="8" borderId="0" xfId="0" applyFont="1" applyFill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20">
    <dxf>
      <numFmt numFmtId="0" formatCode="General"/>
      <alignment horizontal="center" vertical="center" textRotation="0" wrapText="1" indent="0" justifyLastLine="0" shrinkToFit="0" readingOrder="0"/>
    </dxf>
    <dxf>
      <numFmt numFmtId="164" formatCode="[$-409]\ mmm/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$-409]\ mmm/yy"/>
      <alignment horizontal="center" vertical="center" textRotation="0" wrapText="1" indent="0" justifyLastLine="0" shrinkToFit="0" readingOrder="0"/>
    </dxf>
    <dxf>
      <numFmt numFmtId="164" formatCode="[$-409]\ mmm/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theme="0"/>
        <name val="Segoe UI Variable Text Semibold"/>
        <scheme val="none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224386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Dio" pivot="0" table="0" count="10" xr9:uid="{B9E6EDD1-68DA-4053-8DD8-78199351EAC9}">
      <tableStyleElement type="wholeTable" dxfId="19"/>
      <tableStyleElement type="headerRow" dxfId="18"/>
    </tableStyle>
  </tableStyles>
  <colors>
    <mruColors>
      <color rgb="FF224386"/>
      <color rgb="FF2FE9FD"/>
      <color rgb="FFE8E8E8"/>
      <color rgb="FFCDEAF7"/>
      <color rgb="FFC0E6F5"/>
      <color rgb="FFF2F2F2"/>
      <color rgb="FF22C55E"/>
      <color rgb="FFE8E6E9"/>
      <color rgb="FF5BF6A8"/>
      <color rgb="FF00000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E6F5"/>
              <bgColor rgb="FFCDEAF7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Dio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[DIO_DashBoard_Excel.xlsx]C̳álculos!Tbd_SubscrPrice</c:name>
    <c:fmtId val="3"/>
  </c:pivotSource>
  <c:chart>
    <c:autoTitleDeleted val="1"/>
    <c:pivotFmts>
      <c:pivotFmt>
        <c:idx val="0"/>
        <c:spPr>
          <a:solidFill>
            <a:srgbClr val="2FE9F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FE9F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FE9F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FE9F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6"/>
        <c:spPr>
          <a:solidFill>
            <a:srgbClr val="2FE9FD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D683827-A46B-491F-B297-6EE605EF5870}" type="CELLRANGE">
                  <a:rPr lang="en-US"/>
                  <a:pPr>
                    <a:defRPr/>
                  </a:pPr>
                  <a:t>[INTERVALODACÉLULA]</a:t>
                </a:fld>
                <a:endParaRPr lang="en-US" baseline="0"/>
              </a:p>
              <a:p>
                <a:pPr>
                  <a:defRPr/>
                </a:pPr>
                <a:fld id="{39781F49-869E-408F-9E96-5DCB215EE882}" type="CATEGORYNAME">
                  <a:rPr lang="en-US"/>
                  <a:pPr>
                    <a:defRPr/>
                  </a:pPr>
                  <a:t>[NOME DA CATEGORIA]</a:t>
                </a:fld>
                <a:endParaRPr lang="en-US" baseline="0"/>
              </a:p>
              <a:p>
                <a:pPr>
                  <a:defRPr/>
                </a:pPr>
                <a:fld id="{ABB5B8DB-869F-474C-8134-2A812FA3E025}" type="VALUE">
                  <a:rPr lang="en-US"/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7"/>
        <c:spPr>
          <a:solidFill>
            <a:srgbClr val="2FE9FD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9108E22-C57A-4BF3-A110-F573E2E16FEE}" type="CELLRANGE">
                  <a:rPr lang="en-US"/>
                  <a:pPr>
                    <a:defRPr/>
                  </a:pPr>
                  <a:t>[INTERVALODACÉLULA]</a:t>
                </a:fld>
                <a:endParaRPr lang="en-US" baseline="0"/>
              </a:p>
              <a:p>
                <a:pPr>
                  <a:defRPr/>
                </a:pPr>
                <a:fld id="{30147B24-6B71-4B3D-A8B7-0B3B0234FA35}" type="CATEGORYNAME">
                  <a:rPr lang="en-US"/>
                  <a:pPr>
                    <a:defRPr/>
                  </a:pPr>
                  <a:t>[NOME DA CATEGORIA]</a:t>
                </a:fld>
                <a:endParaRPr lang="en-US" baseline="0"/>
              </a:p>
              <a:p>
                <a:pPr>
                  <a:defRPr/>
                </a:pPr>
                <a:fld id="{ECF269EC-C8DF-40CC-9A7F-18BA73F3B9FF}" type="VALUE">
                  <a:rPr lang="en-US"/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8"/>
        <c:spPr>
          <a:solidFill>
            <a:srgbClr val="2FE9FD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61ECFF4-C6FA-48CE-AE0A-03EFA3A2C5DB}" type="CELLRANGE">
                  <a:rPr lang="en-US"/>
                  <a:pPr>
                    <a:defRPr/>
                  </a:pPr>
                  <a:t>[INTERVALODACÉLULA]</a:t>
                </a:fld>
                <a:endParaRPr lang="en-US" baseline="0"/>
              </a:p>
              <a:p>
                <a:pPr>
                  <a:defRPr/>
                </a:pPr>
                <a:fld id="{621D2867-94D8-4377-9DC6-F63FC5E0A81A}" type="CATEGORYNAME">
                  <a:rPr lang="en-US"/>
                  <a:pPr>
                    <a:defRPr/>
                  </a:pPr>
                  <a:t>[NOME DA CATEGORIA]</a:t>
                </a:fld>
                <a:endParaRPr lang="en-US" baseline="0"/>
              </a:p>
              <a:p>
                <a:pPr>
                  <a:defRPr/>
                </a:pPr>
                <a:fld id="{6318A095-663D-46EC-8686-A956F04B9394}" type="VALUE">
                  <a:rPr lang="en-US"/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0197006051819889E-4"/>
          <c:y val="0"/>
          <c:w val="0.99949369704076962"/>
          <c:h val="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C̳álculos!$C$19:$C$21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FE9F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FE9F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E2B-46A6-B2BA-10FB44EAD7C8}"/>
              </c:ext>
            </c:extLst>
          </c:dPt>
          <c:dPt>
            <c:idx val="1"/>
            <c:invertIfNegative val="0"/>
            <c:bubble3D val="0"/>
            <c:spPr>
              <a:solidFill>
                <a:srgbClr val="2FE9F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E2B-46A6-B2BA-10FB44EAD7C8}"/>
              </c:ext>
            </c:extLst>
          </c:dPt>
          <c:dPt>
            <c:idx val="2"/>
            <c:invertIfNegative val="0"/>
            <c:bubble3D val="0"/>
            <c:spPr>
              <a:solidFill>
                <a:srgbClr val="2FE9F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E2B-46A6-B2BA-10FB44EAD7C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D683827-A46B-491F-B297-6EE605EF5870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39781F49-869E-408F-9E96-5DCB215EE882}" type="CATEGORYNAME">
                      <a:rPr lang="en-US"/>
                      <a:pPr/>
                      <a:t>[NOME DA CATEGORIA]</a:t>
                    </a:fld>
                    <a:endParaRPr lang="en-US" baseline="0"/>
                  </a:p>
                  <a:p>
                    <a:fld id="{ABB5B8DB-869F-474C-8134-2A812FA3E025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E2B-46A6-B2BA-10FB44EAD7C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9108E22-C57A-4BF3-A110-F573E2E16FEE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30147B24-6B71-4B3D-A8B7-0B3B0234FA35}" type="CATEGORYNAME">
                      <a:rPr lang="en-US"/>
                      <a:pPr/>
                      <a:t>[NOME DA CATEGORIA]</a:t>
                    </a:fld>
                    <a:endParaRPr lang="en-US" baseline="0"/>
                  </a:p>
                  <a:p>
                    <a:fld id="{ECF269EC-C8DF-40CC-9A7F-18BA73F3B9FF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E2B-46A6-B2BA-10FB44EAD7C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61ECFF4-C6FA-48CE-AE0A-03EFA3A2C5DB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621D2867-94D8-4377-9DC6-F63FC5E0A81A}" type="CATEGORYNAME">
                      <a:rPr lang="en-US"/>
                      <a:pPr/>
                      <a:t>[NOME DA CATEGORIA]</a:t>
                    </a:fld>
                    <a:endParaRPr lang="en-US" baseline="0"/>
                  </a:p>
                  <a:p>
                    <a:fld id="{6318A095-663D-46EC-8686-A956F04B9394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E2B-46A6-B2BA-10FB44EAD7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C̳álculos!$C$19:$C$21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C̳álculos!$C$19:$C$21</c:f>
              <c:numCache>
                <c:formatCode>_("R$"* #,##0.00_);_("R$"* \(#,##0.00\);_("R$"* "-"??_);_(@_)</c:formatCode>
                <c:ptCount val="3"/>
                <c:pt idx="0">
                  <c:v>505</c:v>
                </c:pt>
                <c:pt idx="1">
                  <c:v>960</c:v>
                </c:pt>
                <c:pt idx="2">
                  <c:v>1470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C̳álculos!$C$19:$C$21</c15:f>
                <c15:dlblRangeCache>
                  <c:ptCount val="3"/>
                  <c:pt idx="0">
                    <c:v>101</c:v>
                  </c:pt>
                  <c:pt idx="1">
                    <c:v>96</c:v>
                  </c:pt>
                  <c:pt idx="2">
                    <c:v>98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5E2B-46A6-B2BA-10FB44EAD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1240047695"/>
        <c:axId val="1240051535"/>
      </c:barChart>
      <c:catAx>
        <c:axId val="1240047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40051535"/>
        <c:crosses val="autoZero"/>
        <c:auto val="1"/>
        <c:lblAlgn val="ctr"/>
        <c:lblOffset val="100"/>
        <c:noMultiLvlLbl val="0"/>
      </c:catAx>
      <c:valAx>
        <c:axId val="124005153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4004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[DIO_DashBoard_Excel.xlsx]C̳álculos!Tbd_Salesmonth</c:name>
    <c:fmtId val="7"/>
  </c:pivotSource>
  <c:chart>
    <c:autoTitleDeleted val="1"/>
    <c:pivotFmts>
      <c:pivotFmt>
        <c:idx val="0"/>
        <c:spPr>
          <a:solidFill>
            <a:srgbClr val="2FE9F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FE9F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FE9F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946136975754266E-2"/>
          <c:y val="9.9224806201550386E-2"/>
          <c:w val="0.91717557490281443"/>
          <c:h val="0.782305072331074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C̳álculos!$G$9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FE9F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C̳álculos!$F$10:$F$22</c:f>
              <c:strCache>
                <c:ptCount val="12"/>
                <c:pt idx="0">
                  <c:v> Jan/24</c:v>
                </c:pt>
                <c:pt idx="1">
                  <c:v> Feb/24</c:v>
                </c:pt>
                <c:pt idx="2">
                  <c:v> Mar/24</c:v>
                </c:pt>
                <c:pt idx="3">
                  <c:v> Apr/24</c:v>
                </c:pt>
                <c:pt idx="4">
                  <c:v> May/24</c:v>
                </c:pt>
                <c:pt idx="5">
                  <c:v> Jun/24</c:v>
                </c:pt>
                <c:pt idx="6">
                  <c:v> Jul/24</c:v>
                </c:pt>
                <c:pt idx="7">
                  <c:v> Aug/24</c:v>
                </c:pt>
                <c:pt idx="8">
                  <c:v> Sep/24</c:v>
                </c:pt>
                <c:pt idx="9">
                  <c:v> Oct/24</c:v>
                </c:pt>
                <c:pt idx="10">
                  <c:v> Nov/24</c:v>
                </c:pt>
                <c:pt idx="11">
                  <c:v> Dec/24</c:v>
                </c:pt>
              </c:strCache>
            </c:strRef>
          </c:cat>
          <c:val>
            <c:numRef>
              <c:f>C̳álculos!$G$10:$G$22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0-4ED1-9721-78F394D3A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-27"/>
        <c:axId val="251237119"/>
        <c:axId val="251237599"/>
      </c:barChart>
      <c:catAx>
        <c:axId val="25123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1237599"/>
        <c:crosses val="autoZero"/>
        <c:auto val="1"/>
        <c:lblAlgn val="ctr"/>
        <c:lblOffset val="100"/>
        <c:noMultiLvlLbl val="0"/>
      </c:catAx>
      <c:valAx>
        <c:axId val="25123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123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[DIO_DashBoard_Excel.xlsx]C̳álculos!Tbd_expiration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FE9F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673006507135668E-2"/>
          <c:y val="9.0798629217817936E-2"/>
          <c:w val="0.9464687539106108"/>
          <c:h val="0.755144355768370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C̳álculos!$J$9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FE9F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C̳álculos!$I$10:$I$23</c:f>
              <c:strCache>
                <c:ptCount val="13"/>
                <c:pt idx="0">
                  <c:v> Dec/24</c:v>
                </c:pt>
                <c:pt idx="1">
                  <c:v> Jan/25</c:v>
                </c:pt>
                <c:pt idx="2">
                  <c:v> Feb/25</c:v>
                </c:pt>
                <c:pt idx="3">
                  <c:v> Mar/25</c:v>
                </c:pt>
                <c:pt idx="4">
                  <c:v> Apr/25</c:v>
                </c:pt>
                <c:pt idx="5">
                  <c:v> May/25</c:v>
                </c:pt>
                <c:pt idx="6">
                  <c:v> Jun/25</c:v>
                </c:pt>
                <c:pt idx="7">
                  <c:v> Jul/25</c:v>
                </c:pt>
                <c:pt idx="8">
                  <c:v> Aug/25</c:v>
                </c:pt>
                <c:pt idx="9">
                  <c:v> Sep/25</c:v>
                </c:pt>
                <c:pt idx="10">
                  <c:v> Oct/25</c:v>
                </c:pt>
                <c:pt idx="11">
                  <c:v> Nov/25</c:v>
                </c:pt>
                <c:pt idx="12">
                  <c:v> Dec/25</c:v>
                </c:pt>
              </c:strCache>
            </c:strRef>
          </c:cat>
          <c:val>
            <c:numRef>
              <c:f>C̳álculos!$J$10:$J$23</c:f>
              <c:numCache>
                <c:formatCode>General</c:formatCode>
                <c:ptCount val="13"/>
                <c:pt idx="0">
                  <c:v>23</c:v>
                </c:pt>
                <c:pt idx="1">
                  <c:v>16</c:v>
                </c:pt>
                <c:pt idx="2">
                  <c:v>9</c:v>
                </c:pt>
                <c:pt idx="3">
                  <c:v>11</c:v>
                </c:pt>
                <c:pt idx="4">
                  <c:v>7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7</c:v>
                </c:pt>
                <c:pt idx="10">
                  <c:v>8</c:v>
                </c:pt>
                <c:pt idx="11">
                  <c:v>7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0-4738-AD78-1E7A239D1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-27"/>
        <c:axId val="191331936"/>
        <c:axId val="191331456"/>
      </c:barChart>
      <c:catAx>
        <c:axId val="19133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331456"/>
        <c:crosses val="autoZero"/>
        <c:auto val="1"/>
        <c:lblAlgn val="ctr"/>
        <c:lblOffset val="100"/>
        <c:noMultiLvlLbl val="0"/>
      </c:catAx>
      <c:valAx>
        <c:axId val="19133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33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chart" Target="../charts/chart2.xml"/><Relationship Id="rId7" Type="http://schemas.openxmlformats.org/officeDocument/2006/relationships/image" Target="../media/image9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7.png"/><Relationship Id="rId5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476250</xdr:colOff>
      <xdr:row>12</xdr:row>
      <xdr:rowOff>137360</xdr:rowOff>
    </xdr:from>
    <xdr:to>
      <xdr:col>7</xdr:col>
      <xdr:colOff>495300</xdr:colOff>
      <xdr:row>15</xdr:row>
      <xdr:rowOff>57148</xdr:rowOff>
    </xdr:to>
    <xdr:pic>
      <xdr:nvPicPr>
        <xdr:cNvPr id="2" name="Imagem 1" descr="Vagas de Emprego na DIO.me">
          <a:extLst>
            <a:ext uri="{FF2B5EF4-FFF2-40B4-BE49-F238E27FC236}">
              <a16:creationId xmlns:a16="http://schemas.microsoft.com/office/drawing/2014/main" id="{C55B8B3D-93DF-92B0-9860-75C8BA593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2566235"/>
          <a:ext cx="1238250" cy="5008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285750</xdr:colOff>
      <xdr:row>0</xdr:row>
      <xdr:rowOff>107158</xdr:rowOff>
    </xdr:from>
    <xdr:to>
      <xdr:col>1</xdr:col>
      <xdr:colOff>1524000</xdr:colOff>
      <xdr:row>3</xdr:row>
      <xdr:rowOff>36471</xdr:rowOff>
    </xdr:to>
    <xdr:pic>
      <xdr:nvPicPr>
        <xdr:cNvPr id="2" name="Imagem 1" descr="Vagas de Emprego na DIO.me">
          <a:extLst>
            <a:ext uri="{FF2B5EF4-FFF2-40B4-BE49-F238E27FC236}">
              <a16:creationId xmlns:a16="http://schemas.microsoft.com/office/drawing/2014/main" id="{898E4B69-5529-434A-BBD7-91F2A2F3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8" y="107158"/>
          <a:ext cx="1238250" cy="5008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5</xdr:col>
      <xdr:colOff>119062</xdr:colOff>
      <xdr:row>11</xdr:row>
      <xdr:rowOff>107154</xdr:rowOff>
    </xdr:from>
    <xdr:to>
      <xdr:col>10</xdr:col>
      <xdr:colOff>357187</xdr:colOff>
      <xdr:row>21</xdr:row>
      <xdr:rowOff>71435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750CDB-8D3E-4B42-9E93-0AE7B7F00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12</xdr:col>
      <xdr:colOff>119061</xdr:colOff>
      <xdr:row>10</xdr:row>
      <xdr:rowOff>190498</xdr:rowOff>
    </xdr:from>
    <xdr:to>
      <xdr:col>20</xdr:col>
      <xdr:colOff>535780</xdr:colOff>
      <xdr:row>21</xdr:row>
      <xdr:rowOff>119060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F297F01-7DA3-4D7D-B06B-40C8D6DD7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35718</xdr:colOff>
      <xdr:row>7</xdr:row>
      <xdr:rowOff>130968</xdr:rowOff>
    </xdr:from>
    <xdr:to>
      <xdr:col>2</xdr:col>
      <xdr:colOff>166687</xdr:colOff>
      <xdr:row>14</xdr:row>
      <xdr:rowOff>168088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663B49D1-D58A-49A3-8DD3-A43A3C2109B3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8" y="1341203"/>
              <a:ext cx="2069587" cy="127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95248</xdr:colOff>
      <xdr:row>24</xdr:row>
      <xdr:rowOff>71438</xdr:rowOff>
    </xdr:from>
    <xdr:to>
      <xdr:col>20</xdr:col>
      <xdr:colOff>523872</xdr:colOff>
      <xdr:row>35</xdr:row>
      <xdr:rowOff>98052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698D5A4-03D8-440D-87BA-2A63BFD13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4</xdr:col>
      <xdr:colOff>246528</xdr:colOff>
      <xdr:row>4</xdr:row>
      <xdr:rowOff>130969</xdr:rowOff>
    </xdr:from>
    <xdr:to>
      <xdr:col>6</xdr:col>
      <xdr:colOff>122531</xdr:colOff>
      <xdr:row>5</xdr:row>
      <xdr:rowOff>176024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1ADEB83-D238-4C35-90BC-06B4D8216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00312" y="773907"/>
          <a:ext cx="765469" cy="235555"/>
        </a:xfrm>
        <a:prstGeom prst="rect">
          <a:avLst/>
        </a:prstGeom>
      </xdr:spPr>
    </xdr:pic>
    <xdr:clientData/>
  </xdr:twoCellAnchor>
  <xdr:twoCellAnchor editAs="absolute">
    <xdr:from>
      <xdr:col>8</xdr:col>
      <xdr:colOff>214312</xdr:colOff>
      <xdr:row>4</xdr:row>
      <xdr:rowOff>89389</xdr:rowOff>
    </xdr:from>
    <xdr:to>
      <xdr:col>10</xdr:col>
      <xdr:colOff>107156</xdr:colOff>
      <xdr:row>6</xdr:row>
      <xdr:rowOff>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F696DBC-3D06-4791-9B49-982E8CF5D4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250" b="31641"/>
        <a:stretch>
          <a:fillRect/>
        </a:stretch>
      </xdr:blipFill>
      <xdr:spPr>
        <a:xfrm>
          <a:off x="4643437" y="732327"/>
          <a:ext cx="785813" cy="291611"/>
        </a:xfrm>
        <a:prstGeom prst="rect">
          <a:avLst/>
        </a:prstGeom>
      </xdr:spPr>
    </xdr:pic>
    <xdr:clientData/>
  </xdr:twoCellAnchor>
  <xdr:twoCellAnchor editAs="absolute">
    <xdr:from>
      <xdr:col>14</xdr:col>
      <xdr:colOff>1</xdr:colOff>
      <xdr:row>4</xdr:row>
      <xdr:rowOff>168188</xdr:rowOff>
    </xdr:from>
    <xdr:to>
      <xdr:col>15</xdr:col>
      <xdr:colOff>488157</xdr:colOff>
      <xdr:row>5</xdr:row>
      <xdr:rowOff>157155</xdr:rowOff>
    </xdr:to>
    <xdr:pic>
      <xdr:nvPicPr>
        <xdr:cNvPr id="11" name="Gráfico 10">
          <a:extLst>
            <a:ext uri="{FF2B5EF4-FFF2-40B4-BE49-F238E27FC236}">
              <a16:creationId xmlns:a16="http://schemas.microsoft.com/office/drawing/2014/main" id="{2BA2C7F8-C718-34FD-F445-0FA016CA6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893720" y="811126"/>
          <a:ext cx="1131093" cy="179467"/>
        </a:xfrm>
        <a:prstGeom prst="rect">
          <a:avLst/>
        </a:prstGeom>
      </xdr:spPr>
    </xdr:pic>
    <xdr:clientData/>
  </xdr:twoCellAnchor>
  <xdr:twoCellAnchor editAs="absolute">
    <xdr:from>
      <xdr:col>0</xdr:col>
      <xdr:colOff>35718</xdr:colOff>
      <xdr:row>15</xdr:row>
      <xdr:rowOff>166687</xdr:rowOff>
    </xdr:from>
    <xdr:to>
      <xdr:col>2</xdr:col>
      <xdr:colOff>142875</xdr:colOff>
      <xdr:row>21</xdr:row>
      <xdr:rowOff>130969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Renew">
              <a:extLst>
                <a:ext uri="{FF2B5EF4-FFF2-40B4-BE49-F238E27FC236}">
                  <a16:creationId xmlns:a16="http://schemas.microsoft.com/office/drawing/2014/main" id="{5BA53F7F-3AD3-4D7F-921E-0299E58ABC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new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8" y="3091422"/>
              <a:ext cx="2045775" cy="11072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" refreshedDate="46004.826014583334" createdVersion="8" refreshedVersion="8" minRefreshableVersion="3" recordCount="295" xr:uid="{43B1596D-6D1D-49A7-84BF-C34F43403933}">
  <cacheSource type="worksheet">
    <worksheetSource name="Tb_Data"/>
  </cacheSource>
  <cacheFields count="21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8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Expiration_date" numFmtId="164">
      <sharedItems containsSemiMixedTypes="0" containsNonDate="0" containsDate="1" containsString="0" minDate="2024-02-01T00:00:00" maxDate="2025-12-02T00:00:00"/>
    </cacheField>
    <cacheField name="Expiration" numFmtId="164">
      <sharedItems containsDate="1" containsMixedTypes="1" minDate="2024-02-01T00:00:00" maxDate="2025-12-16T00:00:00" count="269">
        <s v=""/>
        <d v="2025-01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4-12-01T00:00:00"/>
        <d v="2025-10-01T00:00:00"/>
        <d v="2025-02-01T00:00:00"/>
        <d v="2025-11-01T00:00:00"/>
        <d v="2025-12-01T00:00:00"/>
        <d v="2024-05-01T00:00:00" u="1"/>
        <d v="2024-04-01T00:00:00" u="1"/>
        <d v="2024-06-01T00:00:00" u="1"/>
        <d v="2024-07-01T00:00:00" u="1"/>
        <d v="2024-08-01T00:00:00" u="1"/>
        <d v="2024-09-01T00:00:00" u="1"/>
        <d v="2024-10-01T00:00:00" u="1"/>
        <d v="2024-11-01T00:00:00" u="1"/>
        <d v="2024-02-01T00:00:00" u="1"/>
        <d v="2024-03-01T00:00:00" u="1"/>
        <d v="2025-01-15T00:00:00" u="1"/>
        <d v="2024-05-10T00:00:00" u="1"/>
        <d v="2024-03-20T00:00:00" u="1"/>
        <d v="2024-04-05T00:00:00" u="1"/>
        <d v="2024-04-02T00:00:00" u="1"/>
        <d v="2024-06-03T00:00:00" u="1"/>
        <d v="2025-03-04T00:00:00" u="1"/>
        <d v="2024-06-06T00:00:00" u="1"/>
        <d v="2024-04-07T00:00:00" u="1"/>
        <d v="2025-03-08T00:00:00" u="1"/>
        <d v="2024-04-09T00:00:00" u="1"/>
        <d v="2024-06-10T00:00:00" u="1"/>
        <d v="2024-04-11T00:00:00" u="1"/>
        <d v="2025-03-12T00:00:00" u="1"/>
        <d v="2024-04-13T00:00:00" u="1"/>
        <d v="2024-06-14T00:00:00" u="1"/>
        <d v="2024-04-15T00:00:00" u="1"/>
        <d v="2025-03-16T00:00:00" u="1"/>
        <d v="2024-04-17T00:00:00" u="1"/>
        <d v="2024-06-18T00:00:00" u="1"/>
        <d v="2024-04-19T00:00:00" u="1"/>
        <d v="2025-03-20T00:00:00" u="1"/>
        <d v="2024-04-21T00:00:00" u="1"/>
        <d v="2024-06-22T00:00:00" u="1"/>
        <d v="2024-04-23T00:00:00" u="1"/>
        <d v="2025-03-24T00:00:00" u="1"/>
        <d v="2024-04-25T00:00:00" u="1"/>
        <d v="2024-06-26T00:00:00" u="1"/>
        <d v="2024-04-27T00:00:00" u="1"/>
        <d v="2025-03-28T00:00:00" u="1"/>
        <d v="2024-04-29T00:00:00" u="1"/>
        <d v="2024-06-30T00:00:00" u="1"/>
        <d v="2024-04-30T00:00:00" u="1"/>
        <d v="2024-07-02T00:00:00" u="1"/>
        <d v="2025-04-03T00:00:00" u="1"/>
        <d v="2024-07-04T00:00:00" u="1"/>
        <d v="2024-05-05T00:00:00" u="1"/>
        <d v="2024-05-06T00:00:00" u="1"/>
        <d v="2025-04-07T00:00:00" u="1"/>
        <d v="2024-07-08T00:00:00" u="1"/>
        <d v="2024-07-09T00:00:00" u="1"/>
        <d v="2025-04-11T00:00:00" u="1"/>
        <d v="2024-05-12T00:00:00" u="1"/>
        <d v="2024-07-13T00:00:00" u="1"/>
        <d v="2024-05-14T00:00:00" u="1"/>
        <d v="2025-04-15T00:00:00" u="1"/>
        <d v="2024-05-16T00:00:00" u="1"/>
        <d v="2024-07-17T00:00:00" u="1"/>
        <d v="2024-05-18T00:00:00" u="1"/>
        <d v="2025-04-19T00:00:00" u="1"/>
        <d v="2024-05-20T00:00:00" u="1"/>
        <d v="2024-07-21T00:00:00" u="1"/>
        <d v="2024-05-22T00:00:00" u="1"/>
        <d v="2025-04-23T00:00:00" u="1"/>
        <d v="2024-05-24T00:00:00" u="1"/>
        <d v="2024-07-25T00:00:00" u="1"/>
        <d v="2024-05-26T00:00:00" u="1"/>
        <d v="2025-04-27T00:00:00" u="1"/>
        <d v="2024-05-28T00:00:00" u="1"/>
        <d v="2024-07-29T00:00:00" u="1"/>
        <d v="2024-05-30T00:00:00" u="1"/>
        <d v="2024-08-02T00:00:00" u="1"/>
        <d v="2025-05-03T00:00:00" u="1"/>
        <d v="2024-08-04T00:00:00" u="1"/>
        <d v="2024-06-05T00:00:00" u="1"/>
        <d v="2025-05-07T00:00:00" u="1"/>
        <d v="2024-08-08T00:00:00" u="1"/>
        <d v="2024-08-09T00:00:00" u="1"/>
        <d v="2025-05-11T00:00:00" u="1"/>
        <d v="2024-06-12T00:00:00" u="1"/>
        <d v="2024-08-13T00:00:00" u="1"/>
        <d v="2025-05-15T00:00:00" u="1"/>
        <d v="2024-06-16T00:00:00" u="1"/>
        <d v="2024-08-17T00:00:00" u="1"/>
        <d v="2025-05-19T00:00:00" u="1"/>
        <d v="2024-06-20T00:00:00" u="1"/>
        <d v="2024-08-21T00:00:00" u="1"/>
        <d v="2025-05-23T00:00:00" u="1"/>
        <d v="2024-06-24T00:00:00" u="1"/>
        <d v="2024-08-25T00:00:00" u="1"/>
        <d v="2025-05-27T00:00:00" u="1"/>
        <d v="2024-06-28T00:00:00" u="1"/>
        <d v="2024-08-29T00:00:00" u="1"/>
        <d v="2024-08-30T00:00:00" u="1"/>
        <d v="2025-05-31T00:00:00" u="1"/>
        <d v="2025-06-02T00:00:00" u="1"/>
        <d v="2024-09-03T00:00:00" u="1"/>
        <d v="2024-07-05T00:00:00" u="1"/>
        <d v="2025-06-06T00:00:00" u="1"/>
        <d v="2024-09-07T00:00:00" u="1"/>
        <d v="2024-09-08T00:00:00" u="1"/>
        <d v="2024-07-10T00:00:00" u="1"/>
        <d v="2024-09-11T00:00:00" u="1"/>
        <d v="2025-06-12T00:00:00" u="1"/>
        <d v="2024-09-13T00:00:00" u="1"/>
        <d v="2024-07-14T00:00:00" u="1"/>
        <d v="2024-07-15T00:00:00" u="1"/>
        <d v="2025-06-16T00:00:00" u="1"/>
        <d v="2024-09-17T00:00:00" u="1"/>
        <d v="2024-09-18T00:00:00" u="1"/>
        <d v="2024-07-19T00:00:00" u="1"/>
        <d v="2025-06-20T00:00:00" u="1"/>
        <d v="2024-09-22T00:00:00" u="1"/>
        <d v="2024-07-23T00:00:00" u="1"/>
        <d v="2025-06-24T00:00:00" u="1"/>
        <d v="2024-09-26T00:00:00" u="1"/>
        <d v="2024-07-27T00:00:00" u="1"/>
        <d v="2025-06-28T00:00:00" u="1"/>
        <d v="2024-09-30T00:00:00" u="1"/>
        <d v="2025-07-02T00:00:00" u="1"/>
        <d v="2024-08-03T00:00:00" u="1"/>
        <d v="2024-10-04T00:00:00" u="1"/>
        <d v="2024-08-05T00:00:00" u="1"/>
        <d v="2025-07-06T00:00:00" u="1"/>
        <d v="2024-08-07T00:00:00" u="1"/>
        <d v="2024-10-08T00:00:00" u="1"/>
        <d v="2024-08-10T00:00:00" u="1"/>
        <d v="2024-10-11T00:00:00" u="1"/>
        <d v="2025-07-12T00:00:00" u="1"/>
        <d v="2024-10-13T00:00:00" u="1"/>
        <d v="2024-08-14T00:00:00" u="1"/>
        <d v="2024-08-15T00:00:00" u="1"/>
        <d v="2025-07-16T00:00:00" u="1"/>
        <d v="2024-10-17T00:00:00" u="1"/>
        <d v="2024-10-18T00:00:00" u="1"/>
        <d v="2024-08-19T00:00:00" u="1"/>
        <d v="2025-07-20T00:00:00" u="1"/>
        <d v="2024-10-22T00:00:00" u="1"/>
        <d v="2024-08-23T00:00:00" u="1"/>
        <d v="2025-07-24T00:00:00" u="1"/>
        <d v="2024-10-26T00:00:00" u="1"/>
        <d v="2024-08-27T00:00:00" u="1"/>
        <d v="2025-07-28T00:00:00" u="1"/>
        <d v="2024-10-30T00:00:00" u="1"/>
        <d v="2024-08-31T00:00:00" u="1"/>
        <d v="2024-09-02T00:00:00" u="1"/>
        <d v="2024-11-03T00:00:00" u="1"/>
        <d v="2024-09-04T00:00:00" u="1"/>
        <d v="2025-08-05T00:00:00" u="1"/>
        <d v="2024-09-06T00:00:00" u="1"/>
        <d v="2024-11-07T00:00:00" u="1"/>
        <d v="2025-08-09T00:00:00" u="1"/>
        <d v="2024-09-10T00:00:00" u="1"/>
        <d v="2024-11-11T00:00:00" u="1"/>
        <d v="2024-09-12T00:00:00" u="1"/>
        <d v="2025-08-13T00:00:00" u="1"/>
        <d v="2024-09-14T00:00:00" u="1"/>
        <d v="2024-11-15T00:00:00" u="1"/>
        <d v="2024-09-16T00:00:00" u="1"/>
        <d v="2025-08-17T00:00:00" u="1"/>
        <d v="2024-09-19T00:00:00" u="1"/>
        <d v="2024-11-20T00:00:00" u="1"/>
        <d v="2025-08-21T00:00:00" u="1"/>
        <d v="2024-11-22T00:00:00" u="1"/>
        <d v="2024-09-23T00:00:00" u="1"/>
        <d v="2024-09-24T00:00:00" u="1"/>
        <d v="2025-08-25T00:00:00" u="1"/>
        <d v="2024-11-26T00:00:00" u="1"/>
        <d v="2024-11-27T00:00:00" u="1"/>
        <d v="2024-09-28T00:00:00" u="1"/>
        <d v="2025-08-29T00:00:00" u="1"/>
        <d v="2024-11-30T00:00:00" u="1"/>
        <d v="2025-09-02T00:00:00" u="1"/>
        <d v="2024-10-03T00:00:00" u="1"/>
        <d v="2024-12-04T00:00:00" u="1"/>
        <d v="2024-10-05T00:00:00" u="1"/>
        <d v="2025-09-06T00:00:00" u="1"/>
        <d v="2024-10-07T00:00:00" u="1"/>
        <d v="2024-12-08T00:00:00" u="1"/>
        <d v="2024-10-09T00:00:00" u="1"/>
        <d v="2025-09-10T00:00:00" u="1"/>
        <d v="2024-12-12T00:00:00" u="1"/>
        <d v="2025-09-14T00:00:00" u="1"/>
        <d v="2024-10-15T00:00:00" u="1"/>
        <d v="2024-12-16T00:00:00" u="1"/>
        <d v="2024-12-19T00:00:00" u="1"/>
        <d v="2025-09-20T00:00:00" u="1"/>
        <d v="2024-12-21T00:00:00" u="1"/>
        <d v="2024-10-23T00:00:00" u="1"/>
        <d v="2025-09-24T00:00:00" u="1"/>
        <d v="2024-12-25T00:00:00" u="1"/>
        <d v="2024-12-26T00:00:00" u="1"/>
        <d v="2024-10-27T00:00:00" u="1"/>
        <d v="2025-09-28T00:00:00" u="1"/>
        <d v="2024-10-29T00:00:00" u="1"/>
        <d v="2024-12-30T00:00:00" u="1"/>
        <d v="2025-10-02T00:00:00" u="1"/>
        <d v="2025-01-04T00:00:00" u="1"/>
        <d v="2024-11-05T00:00:00" u="1"/>
        <d v="2025-10-06T00:00:00" u="1"/>
        <d v="2025-01-08T00:00:00" u="1"/>
        <d v="2024-11-09T00:00:00" u="1"/>
        <d v="2025-10-10T00:00:00" u="1"/>
        <d v="2025-01-12T00:00:00" u="1"/>
        <d v="2024-11-13T00:00:00" u="1"/>
        <d v="2025-10-14T00:00:00" u="1"/>
        <d v="2025-01-16T00:00:00" u="1"/>
        <d v="2024-11-17T00:00:00" u="1"/>
        <d v="2025-10-18T00:00:00" u="1"/>
        <d v="2024-11-19T00:00:00" u="1"/>
        <d v="2025-01-20T00:00:00" u="1"/>
        <d v="2024-11-21T00:00:00" u="1"/>
        <d v="2025-10-22T00:00:00" u="1"/>
        <d v="2024-11-23T00:00:00" u="1"/>
        <d v="2025-01-24T00:00:00" u="1"/>
        <d v="2024-11-25T00:00:00" u="1"/>
        <d v="2025-10-26T00:00:00" u="1"/>
        <d v="2025-01-28T00:00:00" u="1"/>
        <d v="2024-11-29T00:00:00" u="1"/>
        <d v="2025-10-30T00:00:00" u="1"/>
        <d v="2024-12-02T00:00:00" u="1"/>
        <d v="2025-11-03T00:00:00" u="1"/>
        <d v="2025-02-05T00:00:00" u="1"/>
        <d v="2024-12-06T00:00:00" u="1"/>
        <d v="2024-12-07T00:00:00" u="1"/>
        <d v="2025-02-08T00:00:00" u="1"/>
        <d v="2025-11-09T00:00:00" u="1"/>
        <d v="2025-02-10T00:00:00" u="1"/>
        <d v="2024-12-11T00:00:00" u="1"/>
        <d v="2025-11-13T00:00:00" u="1"/>
        <d v="2025-02-14T00:00:00" u="1"/>
        <d v="2025-02-15T00:00:00" u="1"/>
        <d v="2025-11-17T00:00:00" u="1"/>
        <d v="2024-12-18T00:00:00" u="1"/>
        <d v="2025-02-19T00:00:00" u="1"/>
        <d v="2024-12-20T00:00:00" u="1"/>
        <d v="2025-11-21T00:00:00" u="1"/>
        <d v="2024-12-22T00:00:00" u="1"/>
        <d v="2025-02-23T00:00:00" u="1"/>
        <d v="2024-12-24T00:00:00" u="1"/>
        <d v="2025-11-25T00:00:00" u="1"/>
        <d v="2025-02-27T00:00:00" u="1"/>
        <d v="2024-12-28T00:00:00" u="1"/>
        <d v="2025-11-29T00:00:00" u="1"/>
        <d v="2025-01-02T00:00:00" u="1"/>
        <d v="2025-12-03T00:00:00" u="1"/>
        <d v="2025-03-05T00:00:00" u="1"/>
        <d v="2025-01-06T00:00:00" u="1"/>
        <d v="2025-12-07T00:00:00" u="1"/>
        <d v="2025-03-09T00:00:00" u="1"/>
        <d v="2025-01-10T00:00:00" u="1"/>
        <d v="2025-12-11T00:00:00" u="1"/>
        <d v="2025-03-13T00:00:00" u="1"/>
        <d v="2025-01-14T00:00:00" u="1"/>
        <d v="2025-12-15T00:00:00" u="1"/>
      </sharedItems>
    </cacheField>
    <cacheField name="Month" numFmtId="164">
      <sharedItems containsSemiMixedTypes="0" containsNonDate="0" containsDate="1" containsString="0" minDate="2024-01-01T00:00:00" maxDate="2024-12-17T00:00:00" count="296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4-01-15T00:00:00" u="1"/>
        <d v="2024-02-10T00:00:00" u="1"/>
        <d v="2024-02-20T00:00:00" u="1"/>
        <d v="2024-03-05T00:00:00" u="1"/>
        <d v="2024-03-02T00:00:00" u="1"/>
        <d v="2024-03-03T00:00:00" u="1"/>
        <d v="2024-03-04T00:00:00" u="1"/>
        <d v="2024-03-06T00:00:00" u="1"/>
        <d v="2024-03-07T00:00:00" u="1"/>
        <d v="2024-03-08T00:00:00" u="1"/>
        <d v="2024-03-09T00:00:00" u="1"/>
        <d v="2024-03-10T00:00:00" u="1"/>
        <d v="2024-03-11T00:00:00" u="1"/>
        <d v="2024-03-12T00:00:00" u="1"/>
        <d v="2024-03-13T00:00:00" u="1"/>
        <d v="2024-03-14T00:00:00" u="1"/>
        <d v="2024-03-15T00:00:00" u="1"/>
        <d v="2024-03-16T00:00:00" u="1"/>
        <d v="2024-03-17T00:00:00" u="1"/>
        <d v="2024-03-18T00:00:00" u="1"/>
        <d v="2024-03-19T00:00:00" u="1"/>
        <d v="2024-03-20T00:00:00" u="1"/>
        <d v="2024-03-21T00:00:00" u="1"/>
        <d v="2024-03-22T00:00:00" u="1"/>
        <d v="2024-03-23T00:00:00" u="1"/>
        <d v="2024-03-24T00:00:00" u="1"/>
        <d v="2024-03-25T00:00:00" u="1"/>
        <d v="2024-03-26T00:00:00" u="1"/>
        <d v="2024-03-27T00:00:00" u="1"/>
        <d v="2024-03-28T00:00:00" u="1"/>
        <d v="2024-03-29T00:00:00" u="1"/>
        <d v="2024-03-30T00:00:00" u="1"/>
        <d v="2024-03-31T00:00:00" u="1"/>
        <d v="2024-04-02T00:00:00" u="1"/>
        <d v="2024-04-03T00:00:00" u="1"/>
        <d v="2024-04-04T00:00:00" u="1"/>
        <d v="2024-04-05T00:00:00" u="1"/>
        <d v="2024-04-06T00:00:00" u="1"/>
        <d v="2024-04-07T00:00:00" u="1"/>
        <d v="2024-04-08T00:00:00" u="1"/>
        <d v="2024-04-09T00:00:00" u="1"/>
        <d v="2024-04-10T00:00:00" u="1"/>
        <d v="2024-04-11T00:00:00" u="1"/>
        <d v="2024-04-12T00:00:00" u="1"/>
        <d v="2024-04-13T00:00:00" u="1"/>
        <d v="2024-04-14T00:00:00" u="1"/>
        <d v="2024-04-15T00:00:00" u="1"/>
        <d v="2024-04-16T00:00:00" u="1"/>
        <d v="2024-04-17T00:00:00" u="1"/>
        <d v="2024-04-18T00:00:00" u="1"/>
        <d v="2024-04-19T00:00:00" u="1"/>
        <d v="2024-04-20T00:00:00" u="1"/>
        <d v="2024-04-21T00:00:00" u="1"/>
        <d v="2024-04-22T00:00:00" u="1"/>
        <d v="2024-04-23T00:00:00" u="1"/>
        <d v="2024-04-24T00:00:00" u="1"/>
        <d v="2024-04-25T00:00:00" u="1"/>
        <d v="2024-04-26T00:00:00" u="1"/>
        <d v="2024-04-27T00:00:00" u="1"/>
        <d v="2024-04-28T00:00:00" u="1"/>
        <d v="2024-04-29T00:00:00" u="1"/>
        <d v="2024-04-30T00:00:00" u="1"/>
        <d v="2024-05-02T00:00:00" u="1"/>
        <d v="2024-05-03T00:00:00" u="1"/>
        <d v="2024-05-04T00:00:00" u="1"/>
        <d v="2024-05-05T00:00:00" u="1"/>
        <d v="2024-05-06T00:00:00" u="1"/>
        <d v="2024-05-07T00:00:00" u="1"/>
        <d v="2024-05-08T00:00:00" u="1"/>
        <d v="2024-05-09T00:00:00" u="1"/>
        <d v="2024-05-10T00:00:00" u="1"/>
        <d v="2024-05-11T00:00:00" u="1"/>
        <d v="2024-05-12T00:00:00" u="1"/>
        <d v="2024-05-13T00:00:00" u="1"/>
        <d v="2024-05-14T00:00:00" u="1"/>
        <d v="2024-05-15T00:00:00" u="1"/>
        <d v="2024-05-16T00:00:00" u="1"/>
        <d v="2024-05-17T00:00:00" u="1"/>
        <d v="2024-05-18T00:00:00" u="1"/>
        <d v="2024-05-19T00:00:00" u="1"/>
        <d v="2024-05-20T00:00:00" u="1"/>
        <d v="2024-05-21T00:00:00" u="1"/>
        <d v="2024-05-22T00:00:00" u="1"/>
        <d v="2024-05-23T00:00:00" u="1"/>
        <d v="2024-05-24T00:00:00" u="1"/>
        <d v="2024-05-25T00:00:00" u="1"/>
        <d v="2024-05-26T00:00:00" u="1"/>
        <d v="2024-05-27T00:00:00" u="1"/>
        <d v="2024-05-28T00:00:00" u="1"/>
        <d v="2024-05-29T00:00:00" u="1"/>
        <d v="2024-05-30T00:00:00" u="1"/>
        <d v="2024-05-3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7-21T00:00:00" u="1"/>
        <d v="2024-07-22T00:00:00" u="1"/>
        <d v="2024-07-23T00:00:00" u="1"/>
        <d v="2024-07-24T00:00:00" u="1"/>
        <d v="2024-07-25T00:00:00" u="1"/>
        <d v="2024-07-26T00:00:00" u="1"/>
        <d v="2024-07-27T00:00:00" u="1"/>
        <d v="2024-07-28T00:00:00" u="1"/>
        <d v="2024-07-29T00:00:00" u="1"/>
        <d v="2024-07-30T00:00:00" u="1"/>
        <d v="2024-07-31T00:00:00" u="1"/>
        <d v="2024-08-02T00:00:00" u="1"/>
        <d v="2024-08-03T00:00:00" u="1"/>
        <d v="2024-08-04T00:00:00" u="1"/>
        <d v="2024-08-05T00:00:00" u="1"/>
        <d v="2024-08-06T00:00:00" u="1"/>
        <d v="2024-08-07T00:00:00" u="1"/>
        <d v="2024-08-08T00:00:00" u="1"/>
        <d v="2024-08-09T00:00:00" u="1"/>
        <d v="2024-08-10T00:00:00" u="1"/>
        <d v="2024-08-11T00:00:00" u="1"/>
        <d v="2024-08-12T00:00:00" u="1"/>
        <d v="2024-08-13T00:00:00" u="1"/>
        <d v="2024-08-14T00:00:00" u="1"/>
        <d v="2024-08-15T00:00:00" u="1"/>
        <d v="2024-08-16T00:00:00" u="1"/>
        <d v="2024-08-17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</sharedItems>
      <fieldGroup par="20"/>
    </cacheField>
    <cacheField name="Renew" numFmtId="0">
      <sharedItems count="2">
        <s v="Auto"/>
        <s v="Manual"/>
      </sharedItems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  <cacheField name="Dias (Month)" numFmtId="0" databaseField="0">
      <fieldGroup base="15">
        <rangePr groupBy="days" startDate="2024-01-01T00:00:00" endDate="2024-12-02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2/12/2024"/>
        </groupItems>
      </fieldGroup>
    </cacheField>
    <cacheField name="Meses (Month)" numFmtId="0" databaseField="0">
      <fieldGroup base="15">
        <rangePr groupBy="months" startDate="2024-01-01T00:00:00" endDate="2024-12-02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24"/>
        </groupItems>
      </fieldGroup>
    </cacheField>
  </cacheFields>
  <extLst>
    <ext xmlns:x14="http://schemas.microsoft.com/office/spreadsheetml/2009/9/main" uri="{725AE2AE-9491-48be-B2B4-4EB974FC3084}">
      <x14:pivotCacheDefinition pivotCacheId="20294977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s v="Yes"/>
    <n v="15"/>
    <x v="0"/>
    <x v="0"/>
    <n v="30"/>
    <x v="0"/>
    <n v="20"/>
    <n v="5"/>
    <n v="60"/>
    <d v="2024-02-01T00:00:00"/>
    <x v="0"/>
    <x v="0"/>
    <x v="0"/>
  </r>
  <r>
    <n v="3232"/>
    <s v="Maria Oliveira"/>
    <x v="1"/>
    <x v="1"/>
    <s v="No"/>
    <n v="5"/>
    <x v="1"/>
    <x v="1"/>
    <s v="-"/>
    <x v="1"/>
    <n v="0"/>
    <n v="0"/>
    <n v="5"/>
    <d v="2025-01-01T00:00:00"/>
    <x v="1"/>
    <x v="0"/>
    <x v="1"/>
  </r>
  <r>
    <n v="3233"/>
    <s v="Lucas Fernandes"/>
    <x v="2"/>
    <x v="2"/>
    <s v="Yes"/>
    <n v="10"/>
    <x v="2"/>
    <x v="1"/>
    <s v="-"/>
    <x v="0"/>
    <n v="20"/>
    <n v="10"/>
    <n v="20"/>
    <d v="2024-05-01T00:00:00"/>
    <x v="0"/>
    <x v="1"/>
    <x v="0"/>
  </r>
  <r>
    <n v="3234"/>
    <s v="Ana Souza"/>
    <x v="0"/>
    <x v="3"/>
    <s v="No"/>
    <n v="15"/>
    <x v="0"/>
    <x v="0"/>
    <n v="30"/>
    <x v="0"/>
    <n v="20"/>
    <n v="3"/>
    <n v="62"/>
    <d v="2024-03-01T00:00:00"/>
    <x v="0"/>
    <x v="1"/>
    <x v="1"/>
  </r>
  <r>
    <n v="3235"/>
    <s v="Pedro Gonçalves"/>
    <x v="1"/>
    <x v="4"/>
    <s v="Yes"/>
    <n v="5"/>
    <x v="0"/>
    <x v="1"/>
    <s v="-"/>
    <x v="1"/>
    <n v="0"/>
    <n v="1"/>
    <n v="4"/>
    <d v="2024-04-01T00:00:00"/>
    <x v="0"/>
    <x v="2"/>
    <x v="0"/>
  </r>
  <r>
    <n v="3236"/>
    <s v="Felipe Costa"/>
    <x v="2"/>
    <x v="5"/>
    <s v="No"/>
    <n v="10"/>
    <x v="0"/>
    <x v="1"/>
    <s v="-"/>
    <x v="0"/>
    <n v="20"/>
    <n v="2"/>
    <n v="28"/>
    <d v="2024-04-01T00:00:00"/>
    <x v="0"/>
    <x v="2"/>
    <x v="1"/>
  </r>
  <r>
    <n v="3237"/>
    <s v="Camila Ribeiro"/>
    <x v="0"/>
    <x v="6"/>
    <s v="Yes"/>
    <n v="15"/>
    <x v="2"/>
    <x v="0"/>
    <n v="30"/>
    <x v="0"/>
    <n v="20"/>
    <n v="10"/>
    <n v="55"/>
    <d v="2024-06-01T00:00:00"/>
    <x v="0"/>
    <x v="2"/>
    <x v="0"/>
  </r>
  <r>
    <n v="3238"/>
    <s v="André Mendes"/>
    <x v="1"/>
    <x v="7"/>
    <s v="Yes"/>
    <n v="5"/>
    <x v="1"/>
    <x v="1"/>
    <s v="-"/>
    <x v="1"/>
    <n v="0"/>
    <n v="0"/>
    <n v="5"/>
    <d v="2025-03-01T00:00:00"/>
    <x v="2"/>
    <x v="2"/>
    <x v="0"/>
  </r>
  <r>
    <n v="3239"/>
    <s v="Sofia Almeida"/>
    <x v="0"/>
    <x v="4"/>
    <s v="No"/>
    <n v="15"/>
    <x v="0"/>
    <x v="0"/>
    <n v="30"/>
    <x v="0"/>
    <n v="20"/>
    <n v="5"/>
    <n v="60"/>
    <d v="2024-04-01T00:00:00"/>
    <x v="0"/>
    <x v="2"/>
    <x v="1"/>
  </r>
  <r>
    <n v="3240"/>
    <s v="Bruno Martins"/>
    <x v="2"/>
    <x v="8"/>
    <s v="Yes"/>
    <n v="10"/>
    <x v="2"/>
    <x v="1"/>
    <s v="-"/>
    <x v="0"/>
    <n v="20"/>
    <n v="15"/>
    <n v="15"/>
    <d v="2024-06-01T00:00:00"/>
    <x v="0"/>
    <x v="2"/>
    <x v="0"/>
  </r>
  <r>
    <n v="3241"/>
    <s v="Rita Castro"/>
    <x v="1"/>
    <x v="9"/>
    <s v="No"/>
    <n v="5"/>
    <x v="0"/>
    <x v="1"/>
    <s v="-"/>
    <x v="1"/>
    <n v="0"/>
    <n v="1"/>
    <n v="4"/>
    <d v="2024-04-01T00:00:00"/>
    <x v="0"/>
    <x v="2"/>
    <x v="1"/>
  </r>
  <r>
    <n v="3242"/>
    <s v="Marco Túlio"/>
    <x v="0"/>
    <x v="10"/>
    <s v="Yes"/>
    <n v="15"/>
    <x v="1"/>
    <x v="0"/>
    <n v="30"/>
    <x v="0"/>
    <n v="20"/>
    <n v="20"/>
    <n v="45"/>
    <d v="2025-03-01T00:00:00"/>
    <x v="2"/>
    <x v="2"/>
    <x v="0"/>
  </r>
  <r>
    <n v="3243"/>
    <s v="Lívia Silveira"/>
    <x v="2"/>
    <x v="11"/>
    <s v="No"/>
    <n v="10"/>
    <x v="0"/>
    <x v="1"/>
    <s v="-"/>
    <x v="0"/>
    <n v="20"/>
    <n v="10"/>
    <n v="20"/>
    <d v="2024-04-01T00:00:00"/>
    <x v="0"/>
    <x v="2"/>
    <x v="1"/>
  </r>
  <r>
    <n v="3244"/>
    <s v="Diogo Sousa"/>
    <x v="1"/>
    <x v="12"/>
    <s v="Yes"/>
    <n v="5"/>
    <x v="2"/>
    <x v="1"/>
    <s v="-"/>
    <x v="1"/>
    <n v="0"/>
    <n v="0"/>
    <n v="5"/>
    <d v="2024-06-01T00:00:00"/>
    <x v="0"/>
    <x v="2"/>
    <x v="0"/>
  </r>
  <r>
    <n v="3245"/>
    <s v="Fernanda Lima"/>
    <x v="0"/>
    <x v="13"/>
    <s v="No"/>
    <n v="15"/>
    <x v="0"/>
    <x v="0"/>
    <n v="30"/>
    <x v="0"/>
    <n v="20"/>
    <n v="8"/>
    <n v="57"/>
    <d v="2024-04-01T00:00:00"/>
    <x v="0"/>
    <x v="2"/>
    <x v="1"/>
  </r>
  <r>
    <n v="3246"/>
    <s v="Caio Pereira"/>
    <x v="2"/>
    <x v="14"/>
    <s v="Yes"/>
    <n v="10"/>
    <x v="1"/>
    <x v="1"/>
    <s v="-"/>
    <x v="0"/>
    <n v="20"/>
    <n v="12"/>
    <n v="18"/>
    <d v="2025-03-01T00:00:00"/>
    <x v="2"/>
    <x v="2"/>
    <x v="0"/>
  </r>
  <r>
    <n v="3247"/>
    <s v="Beatriz Gomes"/>
    <x v="1"/>
    <x v="15"/>
    <s v="No"/>
    <n v="5"/>
    <x v="0"/>
    <x v="1"/>
    <s v="-"/>
    <x v="1"/>
    <n v="0"/>
    <n v="2"/>
    <n v="3"/>
    <d v="2024-04-01T00:00:00"/>
    <x v="0"/>
    <x v="2"/>
    <x v="1"/>
  </r>
  <r>
    <n v="3248"/>
    <s v="Cesar Oliveira"/>
    <x v="0"/>
    <x v="16"/>
    <s v="Yes"/>
    <n v="15"/>
    <x v="2"/>
    <x v="0"/>
    <n v="30"/>
    <x v="0"/>
    <n v="20"/>
    <n v="7"/>
    <n v="58"/>
    <d v="2024-06-01T00:00:00"/>
    <x v="0"/>
    <x v="2"/>
    <x v="0"/>
  </r>
  <r>
    <n v="3249"/>
    <s v="Débora Machado"/>
    <x v="2"/>
    <x v="17"/>
    <s v="No"/>
    <n v="10"/>
    <x v="0"/>
    <x v="1"/>
    <s v="-"/>
    <x v="0"/>
    <n v="20"/>
    <n v="5"/>
    <n v="25"/>
    <d v="2024-04-01T00:00:00"/>
    <x v="0"/>
    <x v="2"/>
    <x v="1"/>
  </r>
  <r>
    <n v="3250"/>
    <s v="Eduardo Vargas"/>
    <x v="1"/>
    <x v="18"/>
    <s v="Yes"/>
    <n v="5"/>
    <x v="1"/>
    <x v="1"/>
    <s v="-"/>
    <x v="1"/>
    <n v="0"/>
    <n v="0"/>
    <n v="5"/>
    <d v="2025-03-01T00:00:00"/>
    <x v="2"/>
    <x v="2"/>
    <x v="0"/>
  </r>
  <r>
    <n v="3251"/>
    <s v="Gabriela Santos"/>
    <x v="0"/>
    <x v="19"/>
    <s v="No"/>
    <n v="15"/>
    <x v="0"/>
    <x v="0"/>
    <n v="30"/>
    <x v="0"/>
    <n v="20"/>
    <n v="3"/>
    <n v="62"/>
    <d v="2024-04-01T00:00:00"/>
    <x v="0"/>
    <x v="2"/>
    <x v="1"/>
  </r>
  <r>
    <n v="3252"/>
    <s v="Henrique Dias"/>
    <x v="2"/>
    <x v="20"/>
    <s v="Yes"/>
    <n v="10"/>
    <x v="2"/>
    <x v="1"/>
    <s v="-"/>
    <x v="0"/>
    <n v="20"/>
    <n v="15"/>
    <n v="15"/>
    <d v="2024-06-01T00:00:00"/>
    <x v="0"/>
    <x v="2"/>
    <x v="0"/>
  </r>
  <r>
    <n v="3253"/>
    <s v="Isabela Moreira"/>
    <x v="1"/>
    <x v="21"/>
    <s v="No"/>
    <n v="5"/>
    <x v="0"/>
    <x v="1"/>
    <s v="-"/>
    <x v="1"/>
    <n v="0"/>
    <n v="1"/>
    <n v="4"/>
    <d v="2024-04-01T00:00:00"/>
    <x v="0"/>
    <x v="2"/>
    <x v="1"/>
  </r>
  <r>
    <n v="3254"/>
    <s v="Joaquim Barbosa"/>
    <x v="0"/>
    <x v="22"/>
    <s v="Yes"/>
    <n v="15"/>
    <x v="1"/>
    <x v="0"/>
    <n v="30"/>
    <x v="0"/>
    <n v="20"/>
    <n v="20"/>
    <n v="45"/>
    <d v="2025-03-01T00:00:00"/>
    <x v="2"/>
    <x v="2"/>
    <x v="0"/>
  </r>
  <r>
    <n v="3255"/>
    <s v="Lara Rocha"/>
    <x v="2"/>
    <x v="23"/>
    <s v="No"/>
    <n v="10"/>
    <x v="0"/>
    <x v="1"/>
    <s v="-"/>
    <x v="0"/>
    <n v="20"/>
    <n v="10"/>
    <n v="20"/>
    <d v="2024-04-01T00:00:00"/>
    <x v="0"/>
    <x v="2"/>
    <x v="1"/>
  </r>
  <r>
    <n v="3256"/>
    <s v="Matheus Silva"/>
    <x v="1"/>
    <x v="24"/>
    <s v="Yes"/>
    <n v="5"/>
    <x v="2"/>
    <x v="1"/>
    <s v="-"/>
    <x v="1"/>
    <n v="0"/>
    <n v="0"/>
    <n v="5"/>
    <d v="2024-06-01T00:00:00"/>
    <x v="0"/>
    <x v="2"/>
    <x v="0"/>
  </r>
  <r>
    <n v="3257"/>
    <s v="Nicole Costa"/>
    <x v="0"/>
    <x v="25"/>
    <s v="No"/>
    <n v="15"/>
    <x v="0"/>
    <x v="0"/>
    <n v="30"/>
    <x v="0"/>
    <n v="20"/>
    <n v="5"/>
    <n v="60"/>
    <d v="2024-04-01T00:00:00"/>
    <x v="0"/>
    <x v="2"/>
    <x v="1"/>
  </r>
  <r>
    <n v="3258"/>
    <s v="Otávio Mendonça"/>
    <x v="2"/>
    <x v="26"/>
    <s v="Yes"/>
    <n v="10"/>
    <x v="1"/>
    <x v="1"/>
    <s v="-"/>
    <x v="0"/>
    <n v="20"/>
    <n v="15"/>
    <n v="15"/>
    <d v="2025-03-01T00:00:00"/>
    <x v="2"/>
    <x v="2"/>
    <x v="0"/>
  </r>
  <r>
    <n v="3259"/>
    <s v="Paula Ferreira"/>
    <x v="1"/>
    <x v="27"/>
    <s v="No"/>
    <n v="5"/>
    <x v="0"/>
    <x v="1"/>
    <s v="-"/>
    <x v="1"/>
    <n v="0"/>
    <n v="1"/>
    <n v="4"/>
    <d v="2024-04-01T00:00:00"/>
    <x v="0"/>
    <x v="2"/>
    <x v="1"/>
  </r>
  <r>
    <n v="3260"/>
    <s v="Raquel Alves"/>
    <x v="0"/>
    <x v="28"/>
    <s v="Yes"/>
    <n v="15"/>
    <x v="2"/>
    <x v="0"/>
    <n v="30"/>
    <x v="0"/>
    <n v="20"/>
    <n v="7"/>
    <n v="58"/>
    <d v="2024-06-01T00:00:00"/>
    <x v="0"/>
    <x v="2"/>
    <x v="0"/>
  </r>
  <r>
    <n v="3261"/>
    <s v="Samuel Pires"/>
    <x v="2"/>
    <x v="29"/>
    <s v="No"/>
    <n v="10"/>
    <x v="0"/>
    <x v="1"/>
    <s v="-"/>
    <x v="0"/>
    <n v="20"/>
    <n v="10"/>
    <n v="20"/>
    <d v="2024-04-01T00:00:00"/>
    <x v="0"/>
    <x v="2"/>
    <x v="1"/>
  </r>
  <r>
    <n v="3262"/>
    <s v="Tânia Barros"/>
    <x v="1"/>
    <x v="30"/>
    <s v="Yes"/>
    <n v="5"/>
    <x v="1"/>
    <x v="1"/>
    <s v="-"/>
    <x v="1"/>
    <n v="0"/>
    <n v="0"/>
    <n v="5"/>
    <d v="2025-03-01T00:00:00"/>
    <x v="2"/>
    <x v="2"/>
    <x v="0"/>
  </r>
  <r>
    <n v="3263"/>
    <s v="Vinicius Lima"/>
    <x v="0"/>
    <x v="31"/>
    <s v="No"/>
    <n v="15"/>
    <x v="0"/>
    <x v="0"/>
    <n v="30"/>
    <x v="0"/>
    <n v="20"/>
    <n v="3"/>
    <n v="62"/>
    <d v="2024-04-01T00:00:00"/>
    <x v="0"/>
    <x v="2"/>
    <x v="1"/>
  </r>
  <r>
    <n v="3264"/>
    <s v="Yasmin Teixeira"/>
    <x v="2"/>
    <x v="32"/>
    <s v="Yes"/>
    <n v="10"/>
    <x v="2"/>
    <x v="1"/>
    <s v="-"/>
    <x v="0"/>
    <n v="20"/>
    <n v="15"/>
    <n v="15"/>
    <d v="2024-06-01T00:00:00"/>
    <x v="0"/>
    <x v="2"/>
    <x v="0"/>
  </r>
  <r>
    <n v="3265"/>
    <s v="Zé Carlos"/>
    <x v="1"/>
    <x v="33"/>
    <s v="No"/>
    <n v="5"/>
    <x v="0"/>
    <x v="1"/>
    <s v="-"/>
    <x v="1"/>
    <n v="0"/>
    <n v="1"/>
    <n v="4"/>
    <d v="2024-04-01T00:00:00"/>
    <x v="0"/>
    <x v="2"/>
    <x v="1"/>
  </r>
  <r>
    <n v="3266"/>
    <s v="Amanda Nogueira"/>
    <x v="1"/>
    <x v="34"/>
    <s v="Yes"/>
    <n v="5"/>
    <x v="0"/>
    <x v="1"/>
    <s v="-"/>
    <x v="1"/>
    <n v="0"/>
    <n v="0"/>
    <n v="5"/>
    <d v="2024-05-01T00:00:00"/>
    <x v="0"/>
    <x v="3"/>
    <x v="0"/>
  </r>
  <r>
    <n v="3267"/>
    <s v="Bruno Cavalheiro"/>
    <x v="0"/>
    <x v="35"/>
    <s v="No"/>
    <n v="15"/>
    <x v="2"/>
    <x v="0"/>
    <n v="30"/>
    <x v="0"/>
    <n v="20"/>
    <n v="7"/>
    <n v="58"/>
    <d v="2024-07-01T00:00:00"/>
    <x v="0"/>
    <x v="3"/>
    <x v="1"/>
  </r>
  <r>
    <n v="3268"/>
    <s v="Carla Dias"/>
    <x v="2"/>
    <x v="36"/>
    <s v="Yes"/>
    <n v="10"/>
    <x v="1"/>
    <x v="1"/>
    <s v="-"/>
    <x v="0"/>
    <n v="20"/>
    <n v="10"/>
    <n v="20"/>
    <d v="2025-04-01T00:00:00"/>
    <x v="3"/>
    <x v="3"/>
    <x v="0"/>
  </r>
  <r>
    <n v="3269"/>
    <s v="Diego Fontes"/>
    <x v="1"/>
    <x v="37"/>
    <s v="No"/>
    <n v="5"/>
    <x v="2"/>
    <x v="1"/>
    <s v="-"/>
    <x v="1"/>
    <n v="0"/>
    <n v="1"/>
    <n v="4"/>
    <d v="2024-07-01T00:00:00"/>
    <x v="0"/>
    <x v="3"/>
    <x v="1"/>
  </r>
  <r>
    <n v="3270"/>
    <s v="Eunice Lima"/>
    <x v="0"/>
    <x v="38"/>
    <s v="Yes"/>
    <n v="15"/>
    <x v="0"/>
    <x v="0"/>
    <n v="30"/>
    <x v="0"/>
    <n v="20"/>
    <n v="15"/>
    <n v="50"/>
    <d v="2024-05-01T00:00:00"/>
    <x v="0"/>
    <x v="3"/>
    <x v="0"/>
  </r>
  <r>
    <n v="3271"/>
    <s v="Fábio Martins"/>
    <x v="2"/>
    <x v="39"/>
    <s v="No"/>
    <n v="10"/>
    <x v="0"/>
    <x v="1"/>
    <s v="-"/>
    <x v="0"/>
    <n v="20"/>
    <n v="5"/>
    <n v="25"/>
    <d v="2024-05-01T00:00:00"/>
    <x v="0"/>
    <x v="3"/>
    <x v="1"/>
  </r>
  <r>
    <n v="3272"/>
    <s v="Gisele Araújo"/>
    <x v="1"/>
    <x v="40"/>
    <s v="Yes"/>
    <n v="5"/>
    <x v="1"/>
    <x v="1"/>
    <s v="-"/>
    <x v="1"/>
    <n v="0"/>
    <n v="0"/>
    <n v="5"/>
    <d v="2025-04-01T00:00:00"/>
    <x v="3"/>
    <x v="3"/>
    <x v="0"/>
  </r>
  <r>
    <n v="3273"/>
    <s v="Hélio Castro"/>
    <x v="0"/>
    <x v="41"/>
    <s v="No"/>
    <n v="15"/>
    <x v="2"/>
    <x v="0"/>
    <n v="30"/>
    <x v="0"/>
    <n v="20"/>
    <n v="20"/>
    <n v="45"/>
    <d v="2024-07-01T00:00:00"/>
    <x v="0"/>
    <x v="3"/>
    <x v="1"/>
  </r>
  <r>
    <n v="3274"/>
    <s v="Ingrid Menezes"/>
    <x v="2"/>
    <x v="42"/>
    <s v="Yes"/>
    <n v="10"/>
    <x v="2"/>
    <x v="1"/>
    <s v="-"/>
    <x v="0"/>
    <n v="20"/>
    <n v="12"/>
    <n v="18"/>
    <d v="2024-07-01T00:00:00"/>
    <x v="0"/>
    <x v="3"/>
    <x v="0"/>
  </r>
  <r>
    <n v="3275"/>
    <s v="Jorge Baptista"/>
    <x v="1"/>
    <x v="43"/>
    <s v="No"/>
    <n v="5"/>
    <x v="0"/>
    <x v="1"/>
    <s v="-"/>
    <x v="1"/>
    <n v="0"/>
    <n v="2"/>
    <n v="3"/>
    <d v="2024-05-01T00:00:00"/>
    <x v="0"/>
    <x v="3"/>
    <x v="1"/>
  </r>
  <r>
    <n v="3276"/>
    <s v="Kléber Oliveira"/>
    <x v="0"/>
    <x v="44"/>
    <s v="Yes"/>
    <n v="15"/>
    <x v="1"/>
    <x v="0"/>
    <n v="30"/>
    <x v="0"/>
    <n v="20"/>
    <n v="5"/>
    <n v="60"/>
    <d v="2025-04-01T00:00:00"/>
    <x v="3"/>
    <x v="3"/>
    <x v="0"/>
  </r>
  <r>
    <n v="3277"/>
    <s v="Luciana Freitas"/>
    <x v="2"/>
    <x v="45"/>
    <s v="No"/>
    <n v="10"/>
    <x v="0"/>
    <x v="1"/>
    <s v="-"/>
    <x v="0"/>
    <n v="20"/>
    <n v="10"/>
    <n v="20"/>
    <d v="2024-05-01T00:00:00"/>
    <x v="0"/>
    <x v="3"/>
    <x v="1"/>
  </r>
  <r>
    <n v="3278"/>
    <s v="Márcia Eller"/>
    <x v="1"/>
    <x v="46"/>
    <s v="Yes"/>
    <n v="5"/>
    <x v="2"/>
    <x v="1"/>
    <s v="-"/>
    <x v="1"/>
    <n v="0"/>
    <n v="0"/>
    <n v="5"/>
    <d v="2024-07-01T00:00:00"/>
    <x v="0"/>
    <x v="3"/>
    <x v="0"/>
  </r>
  <r>
    <n v="3279"/>
    <s v="Nilo Peçanha"/>
    <x v="0"/>
    <x v="47"/>
    <s v="No"/>
    <n v="15"/>
    <x v="0"/>
    <x v="0"/>
    <n v="30"/>
    <x v="0"/>
    <n v="20"/>
    <n v="3"/>
    <n v="62"/>
    <d v="2024-05-01T00:00:00"/>
    <x v="0"/>
    <x v="3"/>
    <x v="1"/>
  </r>
  <r>
    <n v="3280"/>
    <s v="Oscar Neves"/>
    <x v="2"/>
    <x v="48"/>
    <s v="Yes"/>
    <n v="10"/>
    <x v="1"/>
    <x v="1"/>
    <s v="-"/>
    <x v="0"/>
    <n v="20"/>
    <n v="15"/>
    <n v="15"/>
    <d v="2025-04-01T00:00:00"/>
    <x v="3"/>
    <x v="3"/>
    <x v="0"/>
  </r>
  <r>
    <n v="3281"/>
    <s v="Patrícia Soares"/>
    <x v="1"/>
    <x v="49"/>
    <s v="No"/>
    <n v="5"/>
    <x v="0"/>
    <x v="1"/>
    <s v="-"/>
    <x v="1"/>
    <n v="0"/>
    <n v="1"/>
    <n v="4"/>
    <d v="2024-05-01T00:00:00"/>
    <x v="0"/>
    <x v="3"/>
    <x v="1"/>
  </r>
  <r>
    <n v="3282"/>
    <s v="Quirino Gonçalves"/>
    <x v="0"/>
    <x v="50"/>
    <s v="Yes"/>
    <n v="15"/>
    <x v="2"/>
    <x v="0"/>
    <n v="30"/>
    <x v="0"/>
    <n v="20"/>
    <n v="7"/>
    <n v="58"/>
    <d v="2024-07-01T00:00:00"/>
    <x v="0"/>
    <x v="3"/>
    <x v="0"/>
  </r>
  <r>
    <n v="3283"/>
    <s v="Raul Machado"/>
    <x v="2"/>
    <x v="51"/>
    <s v="No"/>
    <n v="10"/>
    <x v="0"/>
    <x v="1"/>
    <s v="-"/>
    <x v="0"/>
    <n v="20"/>
    <n v="10"/>
    <n v="20"/>
    <d v="2024-05-01T00:00:00"/>
    <x v="0"/>
    <x v="3"/>
    <x v="1"/>
  </r>
  <r>
    <n v="3284"/>
    <s v="Sônia Lobo"/>
    <x v="1"/>
    <x v="52"/>
    <s v="Yes"/>
    <n v="5"/>
    <x v="1"/>
    <x v="1"/>
    <s v="-"/>
    <x v="1"/>
    <n v="0"/>
    <n v="0"/>
    <n v="5"/>
    <d v="2025-04-01T00:00:00"/>
    <x v="3"/>
    <x v="3"/>
    <x v="0"/>
  </r>
  <r>
    <n v="3285"/>
    <s v="Tiago Ramos"/>
    <x v="0"/>
    <x v="53"/>
    <s v="No"/>
    <n v="15"/>
    <x v="0"/>
    <x v="0"/>
    <n v="30"/>
    <x v="0"/>
    <n v="20"/>
    <n v="20"/>
    <n v="45"/>
    <d v="2024-05-01T00:00:00"/>
    <x v="0"/>
    <x v="3"/>
    <x v="1"/>
  </r>
  <r>
    <n v="3286"/>
    <s v="Ugo Pires"/>
    <x v="2"/>
    <x v="54"/>
    <s v="Yes"/>
    <n v="10"/>
    <x v="2"/>
    <x v="1"/>
    <s v="-"/>
    <x v="0"/>
    <n v="20"/>
    <n v="15"/>
    <n v="15"/>
    <d v="2024-07-01T00:00:00"/>
    <x v="0"/>
    <x v="3"/>
    <x v="0"/>
  </r>
  <r>
    <n v="3287"/>
    <s v="Valéria Nobre"/>
    <x v="1"/>
    <x v="55"/>
    <s v="No"/>
    <n v="5"/>
    <x v="0"/>
    <x v="1"/>
    <s v="-"/>
    <x v="1"/>
    <n v="0"/>
    <n v="1"/>
    <n v="4"/>
    <d v="2024-05-01T00:00:00"/>
    <x v="0"/>
    <x v="3"/>
    <x v="1"/>
  </r>
  <r>
    <n v="3288"/>
    <s v="William Siqueira"/>
    <x v="0"/>
    <x v="56"/>
    <s v="Yes"/>
    <n v="15"/>
    <x v="1"/>
    <x v="0"/>
    <n v="30"/>
    <x v="0"/>
    <n v="20"/>
    <n v="3"/>
    <n v="62"/>
    <d v="2025-04-01T00:00:00"/>
    <x v="3"/>
    <x v="3"/>
    <x v="0"/>
  </r>
  <r>
    <n v="3289"/>
    <s v="Xuxa Meneghel"/>
    <x v="2"/>
    <x v="57"/>
    <s v="No"/>
    <n v="10"/>
    <x v="0"/>
    <x v="1"/>
    <s v="-"/>
    <x v="0"/>
    <n v="20"/>
    <n v="10"/>
    <n v="20"/>
    <d v="2024-05-01T00:00:00"/>
    <x v="0"/>
    <x v="3"/>
    <x v="1"/>
  </r>
  <r>
    <n v="3290"/>
    <s v="Yara Figueiredo"/>
    <x v="1"/>
    <x v="58"/>
    <s v="Yes"/>
    <n v="5"/>
    <x v="2"/>
    <x v="1"/>
    <s v="-"/>
    <x v="1"/>
    <n v="0"/>
    <n v="0"/>
    <n v="5"/>
    <d v="2024-07-01T00:00:00"/>
    <x v="0"/>
    <x v="3"/>
    <x v="0"/>
  </r>
  <r>
    <n v="3291"/>
    <s v="Zacarias Alves"/>
    <x v="0"/>
    <x v="59"/>
    <s v="No"/>
    <n v="15"/>
    <x v="0"/>
    <x v="0"/>
    <n v="30"/>
    <x v="0"/>
    <n v="20"/>
    <n v="5"/>
    <n v="60"/>
    <d v="2024-05-01T00:00:00"/>
    <x v="0"/>
    <x v="3"/>
    <x v="1"/>
  </r>
  <r>
    <n v="3292"/>
    <s v="Amanda Bynes"/>
    <x v="2"/>
    <x v="60"/>
    <s v="Yes"/>
    <n v="10"/>
    <x v="1"/>
    <x v="1"/>
    <s v="-"/>
    <x v="0"/>
    <n v="20"/>
    <n v="15"/>
    <n v="15"/>
    <d v="2025-04-01T00:00:00"/>
    <x v="3"/>
    <x v="3"/>
    <x v="0"/>
  </r>
  <r>
    <n v="3293"/>
    <s v="Bruno Mars"/>
    <x v="1"/>
    <x v="61"/>
    <s v="No"/>
    <n v="5"/>
    <x v="0"/>
    <x v="1"/>
    <s v="-"/>
    <x v="1"/>
    <n v="0"/>
    <n v="1"/>
    <n v="4"/>
    <d v="2024-05-01T00:00:00"/>
    <x v="0"/>
    <x v="3"/>
    <x v="1"/>
  </r>
  <r>
    <n v="3294"/>
    <s v="Carla Bruni"/>
    <x v="0"/>
    <x v="62"/>
    <s v="Yes"/>
    <n v="15"/>
    <x v="2"/>
    <x v="0"/>
    <n v="30"/>
    <x v="0"/>
    <n v="20"/>
    <n v="20"/>
    <n v="45"/>
    <d v="2024-07-01T00:00:00"/>
    <x v="0"/>
    <x v="3"/>
    <x v="0"/>
  </r>
  <r>
    <n v="3295"/>
    <s v="Diego Maradona"/>
    <x v="2"/>
    <x v="63"/>
    <s v="No"/>
    <n v="10"/>
    <x v="0"/>
    <x v="1"/>
    <s v="-"/>
    <x v="0"/>
    <n v="20"/>
    <n v="5"/>
    <n v="25"/>
    <d v="2024-05-01T00:00:00"/>
    <x v="0"/>
    <x v="3"/>
    <x v="1"/>
  </r>
  <r>
    <n v="3296"/>
    <s v="Estela Marques"/>
    <x v="1"/>
    <x v="64"/>
    <s v="No"/>
    <n v="5"/>
    <x v="0"/>
    <x v="1"/>
    <s v="-"/>
    <x v="1"/>
    <n v="0"/>
    <n v="0"/>
    <n v="5"/>
    <d v="2024-06-01T00:00:00"/>
    <x v="0"/>
    <x v="4"/>
    <x v="1"/>
  </r>
  <r>
    <n v="3297"/>
    <s v="Fábio Nobre"/>
    <x v="0"/>
    <x v="65"/>
    <s v="Yes"/>
    <n v="15"/>
    <x v="2"/>
    <x v="0"/>
    <n v="30"/>
    <x v="0"/>
    <n v="20"/>
    <n v="7"/>
    <n v="58"/>
    <d v="2024-08-01T00:00:00"/>
    <x v="0"/>
    <x v="4"/>
    <x v="0"/>
  </r>
  <r>
    <n v="3298"/>
    <s v="Gabriel Oliveira"/>
    <x v="2"/>
    <x v="66"/>
    <s v="No"/>
    <n v="10"/>
    <x v="1"/>
    <x v="1"/>
    <s v="-"/>
    <x v="0"/>
    <n v="20"/>
    <n v="10"/>
    <n v="20"/>
    <d v="2025-05-01T00:00:00"/>
    <x v="4"/>
    <x v="4"/>
    <x v="1"/>
  </r>
  <r>
    <n v="3299"/>
    <s v="Helena Santos"/>
    <x v="1"/>
    <x v="67"/>
    <s v="Yes"/>
    <n v="5"/>
    <x v="2"/>
    <x v="1"/>
    <s v="-"/>
    <x v="1"/>
    <n v="0"/>
    <n v="1"/>
    <n v="4"/>
    <d v="2024-08-01T00:00:00"/>
    <x v="0"/>
    <x v="4"/>
    <x v="0"/>
  </r>
  <r>
    <n v="3300"/>
    <s v="Ivan Carvalho"/>
    <x v="0"/>
    <x v="68"/>
    <s v="No"/>
    <n v="15"/>
    <x v="0"/>
    <x v="0"/>
    <n v="30"/>
    <x v="0"/>
    <n v="20"/>
    <n v="15"/>
    <n v="50"/>
    <d v="2024-06-01T00:00:00"/>
    <x v="0"/>
    <x v="4"/>
    <x v="1"/>
  </r>
  <r>
    <n v="3301"/>
    <s v="Júlia Ferreira"/>
    <x v="2"/>
    <x v="69"/>
    <s v="Yes"/>
    <n v="10"/>
    <x v="0"/>
    <x v="1"/>
    <s v="-"/>
    <x v="0"/>
    <n v="20"/>
    <n v="5"/>
    <n v="25"/>
    <d v="2024-06-01T00:00:00"/>
    <x v="0"/>
    <x v="4"/>
    <x v="0"/>
  </r>
  <r>
    <n v="3302"/>
    <s v="Karla Alves"/>
    <x v="1"/>
    <x v="70"/>
    <s v="No"/>
    <n v="5"/>
    <x v="1"/>
    <x v="1"/>
    <s v="-"/>
    <x v="1"/>
    <n v="0"/>
    <n v="0"/>
    <n v="5"/>
    <d v="2025-05-01T00:00:00"/>
    <x v="4"/>
    <x v="4"/>
    <x v="1"/>
  </r>
  <r>
    <n v="3303"/>
    <s v="Lucas Mendes"/>
    <x v="0"/>
    <x v="71"/>
    <s v="Yes"/>
    <n v="15"/>
    <x v="2"/>
    <x v="0"/>
    <n v="30"/>
    <x v="0"/>
    <n v="20"/>
    <n v="20"/>
    <n v="45"/>
    <d v="2024-08-01T00:00:00"/>
    <x v="0"/>
    <x v="4"/>
    <x v="0"/>
  </r>
  <r>
    <n v="3304"/>
    <s v="Mônica Gomes"/>
    <x v="2"/>
    <x v="72"/>
    <s v="No"/>
    <n v="10"/>
    <x v="2"/>
    <x v="1"/>
    <s v="-"/>
    <x v="0"/>
    <n v="20"/>
    <n v="12"/>
    <n v="18"/>
    <d v="2024-08-01T00:00:00"/>
    <x v="0"/>
    <x v="4"/>
    <x v="1"/>
  </r>
  <r>
    <n v="3305"/>
    <s v="Norberto Queiroz"/>
    <x v="1"/>
    <x v="73"/>
    <s v="Yes"/>
    <n v="5"/>
    <x v="0"/>
    <x v="1"/>
    <s v="-"/>
    <x v="1"/>
    <n v="0"/>
    <n v="2"/>
    <n v="3"/>
    <d v="2024-06-01T00:00:00"/>
    <x v="0"/>
    <x v="4"/>
    <x v="0"/>
  </r>
  <r>
    <n v="3306"/>
    <s v="Otávio Barros"/>
    <x v="0"/>
    <x v="74"/>
    <s v="No"/>
    <n v="15"/>
    <x v="1"/>
    <x v="0"/>
    <n v="30"/>
    <x v="0"/>
    <n v="20"/>
    <n v="5"/>
    <n v="60"/>
    <d v="2025-05-01T00:00:00"/>
    <x v="4"/>
    <x v="4"/>
    <x v="1"/>
  </r>
  <r>
    <n v="3307"/>
    <s v="Paula Vieira"/>
    <x v="2"/>
    <x v="75"/>
    <s v="Yes"/>
    <n v="10"/>
    <x v="0"/>
    <x v="1"/>
    <s v="-"/>
    <x v="0"/>
    <n v="20"/>
    <n v="10"/>
    <n v="20"/>
    <d v="2024-06-01T00:00:00"/>
    <x v="0"/>
    <x v="4"/>
    <x v="0"/>
  </r>
  <r>
    <n v="3308"/>
    <s v="Quentin Ramos"/>
    <x v="1"/>
    <x v="76"/>
    <s v="No"/>
    <n v="5"/>
    <x v="2"/>
    <x v="1"/>
    <s v="-"/>
    <x v="1"/>
    <n v="0"/>
    <n v="0"/>
    <n v="5"/>
    <d v="2024-08-01T00:00:00"/>
    <x v="0"/>
    <x v="4"/>
    <x v="1"/>
  </r>
  <r>
    <n v="3309"/>
    <s v="Raquel Novaes"/>
    <x v="0"/>
    <x v="77"/>
    <s v="Yes"/>
    <n v="15"/>
    <x v="0"/>
    <x v="0"/>
    <n v="30"/>
    <x v="0"/>
    <n v="20"/>
    <n v="3"/>
    <n v="62"/>
    <d v="2024-06-01T00:00:00"/>
    <x v="0"/>
    <x v="4"/>
    <x v="0"/>
  </r>
  <r>
    <n v="3310"/>
    <s v="Samantha Lopes"/>
    <x v="2"/>
    <x v="78"/>
    <s v="No"/>
    <n v="10"/>
    <x v="1"/>
    <x v="1"/>
    <s v="-"/>
    <x v="0"/>
    <n v="20"/>
    <n v="15"/>
    <n v="15"/>
    <d v="2025-05-01T00:00:00"/>
    <x v="4"/>
    <x v="4"/>
    <x v="1"/>
  </r>
  <r>
    <n v="3311"/>
    <s v="Tiago Martins"/>
    <x v="1"/>
    <x v="79"/>
    <s v="Yes"/>
    <n v="5"/>
    <x v="0"/>
    <x v="1"/>
    <s v="-"/>
    <x v="1"/>
    <n v="0"/>
    <n v="1"/>
    <n v="4"/>
    <d v="2024-06-01T00:00:00"/>
    <x v="0"/>
    <x v="4"/>
    <x v="0"/>
  </r>
  <r>
    <n v="3312"/>
    <s v="Ulysses Guimarães"/>
    <x v="0"/>
    <x v="80"/>
    <s v="No"/>
    <n v="15"/>
    <x v="2"/>
    <x v="0"/>
    <n v="30"/>
    <x v="0"/>
    <n v="20"/>
    <n v="7"/>
    <n v="58"/>
    <d v="2024-08-01T00:00:00"/>
    <x v="0"/>
    <x v="4"/>
    <x v="1"/>
  </r>
  <r>
    <n v="3313"/>
    <s v="Vanessa Silva"/>
    <x v="2"/>
    <x v="81"/>
    <s v="Yes"/>
    <n v="10"/>
    <x v="0"/>
    <x v="1"/>
    <s v="-"/>
    <x v="0"/>
    <n v="20"/>
    <n v="10"/>
    <n v="20"/>
    <d v="2024-06-01T00:00:00"/>
    <x v="0"/>
    <x v="4"/>
    <x v="0"/>
  </r>
  <r>
    <n v="3314"/>
    <s v="William Carneiro"/>
    <x v="1"/>
    <x v="82"/>
    <s v="No"/>
    <n v="5"/>
    <x v="1"/>
    <x v="1"/>
    <s v="-"/>
    <x v="1"/>
    <n v="0"/>
    <n v="0"/>
    <n v="5"/>
    <d v="2025-05-01T00:00:00"/>
    <x v="4"/>
    <x v="4"/>
    <x v="1"/>
  </r>
  <r>
    <n v="3315"/>
    <s v="Ximena Rocha"/>
    <x v="0"/>
    <x v="83"/>
    <s v="Yes"/>
    <n v="15"/>
    <x v="0"/>
    <x v="0"/>
    <n v="30"/>
    <x v="0"/>
    <n v="20"/>
    <n v="20"/>
    <n v="45"/>
    <d v="2024-06-01T00:00:00"/>
    <x v="0"/>
    <x v="4"/>
    <x v="0"/>
  </r>
  <r>
    <n v="3316"/>
    <s v="Yasmin Figueiredo"/>
    <x v="2"/>
    <x v="84"/>
    <s v="No"/>
    <n v="10"/>
    <x v="2"/>
    <x v="1"/>
    <s v="-"/>
    <x v="0"/>
    <n v="20"/>
    <n v="15"/>
    <n v="15"/>
    <d v="2024-08-01T00:00:00"/>
    <x v="0"/>
    <x v="4"/>
    <x v="1"/>
  </r>
  <r>
    <n v="3317"/>
    <s v="Zara Cunha"/>
    <x v="1"/>
    <x v="85"/>
    <s v="Yes"/>
    <n v="5"/>
    <x v="0"/>
    <x v="1"/>
    <s v="-"/>
    <x v="1"/>
    <n v="0"/>
    <n v="1"/>
    <n v="4"/>
    <d v="2024-06-01T00:00:00"/>
    <x v="0"/>
    <x v="4"/>
    <x v="0"/>
  </r>
  <r>
    <n v="3318"/>
    <s v="Alan Teixeira"/>
    <x v="0"/>
    <x v="86"/>
    <s v="No"/>
    <n v="15"/>
    <x v="1"/>
    <x v="0"/>
    <n v="30"/>
    <x v="0"/>
    <n v="20"/>
    <n v="3"/>
    <n v="62"/>
    <d v="2025-05-01T00:00:00"/>
    <x v="4"/>
    <x v="4"/>
    <x v="1"/>
  </r>
  <r>
    <n v="3319"/>
    <s v="Bárbara Oliveira"/>
    <x v="2"/>
    <x v="87"/>
    <s v="Yes"/>
    <n v="10"/>
    <x v="0"/>
    <x v="1"/>
    <s v="-"/>
    <x v="0"/>
    <n v="20"/>
    <n v="10"/>
    <n v="20"/>
    <d v="2024-06-01T00:00:00"/>
    <x v="0"/>
    <x v="4"/>
    <x v="0"/>
  </r>
  <r>
    <n v="3320"/>
    <s v="Carlos Junqueira"/>
    <x v="1"/>
    <x v="88"/>
    <s v="No"/>
    <n v="5"/>
    <x v="2"/>
    <x v="1"/>
    <s v="-"/>
    <x v="1"/>
    <n v="0"/>
    <n v="0"/>
    <n v="5"/>
    <d v="2024-08-01T00:00:00"/>
    <x v="0"/>
    <x v="4"/>
    <x v="1"/>
  </r>
  <r>
    <n v="3321"/>
    <s v="Daniela Moura"/>
    <x v="0"/>
    <x v="89"/>
    <s v="Yes"/>
    <n v="15"/>
    <x v="0"/>
    <x v="0"/>
    <n v="30"/>
    <x v="0"/>
    <n v="20"/>
    <n v="5"/>
    <n v="60"/>
    <d v="2024-06-01T00:00:00"/>
    <x v="0"/>
    <x v="4"/>
    <x v="0"/>
  </r>
  <r>
    <n v="3322"/>
    <s v="Eduardo Lima"/>
    <x v="2"/>
    <x v="90"/>
    <s v="No"/>
    <n v="10"/>
    <x v="1"/>
    <x v="1"/>
    <s v="-"/>
    <x v="0"/>
    <n v="20"/>
    <n v="15"/>
    <n v="15"/>
    <d v="2025-05-01T00:00:00"/>
    <x v="4"/>
    <x v="4"/>
    <x v="1"/>
  </r>
  <r>
    <n v="3323"/>
    <s v="Fabiana Araújo"/>
    <x v="1"/>
    <x v="91"/>
    <s v="Yes"/>
    <n v="5"/>
    <x v="0"/>
    <x v="1"/>
    <s v="-"/>
    <x v="1"/>
    <n v="0"/>
    <n v="1"/>
    <n v="4"/>
    <d v="2024-06-01T00:00:00"/>
    <x v="0"/>
    <x v="4"/>
    <x v="0"/>
  </r>
  <r>
    <n v="3324"/>
    <s v="Geraldo Ribeiro"/>
    <x v="0"/>
    <x v="92"/>
    <s v="No"/>
    <n v="15"/>
    <x v="2"/>
    <x v="0"/>
    <n v="30"/>
    <x v="0"/>
    <n v="20"/>
    <n v="20"/>
    <n v="45"/>
    <d v="2024-08-01T00:00:00"/>
    <x v="0"/>
    <x v="4"/>
    <x v="1"/>
  </r>
  <r>
    <n v="3325"/>
    <s v="Héctor Vargas"/>
    <x v="2"/>
    <x v="93"/>
    <s v="Yes"/>
    <n v="10"/>
    <x v="2"/>
    <x v="1"/>
    <s v="-"/>
    <x v="0"/>
    <n v="20"/>
    <n v="15"/>
    <n v="15"/>
    <d v="2024-08-01T00:00:00"/>
    <x v="0"/>
    <x v="4"/>
    <x v="0"/>
  </r>
  <r>
    <n v="3326"/>
    <s v="Isabela Fonseca"/>
    <x v="1"/>
    <x v="94"/>
    <s v="No"/>
    <n v="5"/>
    <x v="1"/>
    <x v="1"/>
    <s v="-"/>
    <x v="1"/>
    <n v="0"/>
    <n v="0"/>
    <n v="5"/>
    <d v="2025-05-01T00:00:00"/>
    <x v="4"/>
    <x v="4"/>
    <x v="1"/>
  </r>
  <r>
    <n v="3327"/>
    <s v="João Pedro Almeida"/>
    <x v="0"/>
    <x v="95"/>
    <s v="Yes"/>
    <n v="15"/>
    <x v="0"/>
    <x v="0"/>
    <n v="30"/>
    <x v="0"/>
    <n v="20"/>
    <n v="7"/>
    <n v="58"/>
    <d v="2024-07-01T00:00:00"/>
    <x v="0"/>
    <x v="5"/>
    <x v="0"/>
  </r>
  <r>
    <n v="3328"/>
    <s v="Klara Costa"/>
    <x v="2"/>
    <x v="96"/>
    <s v="No"/>
    <n v="10"/>
    <x v="1"/>
    <x v="1"/>
    <s v="-"/>
    <x v="0"/>
    <n v="20"/>
    <n v="10"/>
    <n v="20"/>
    <d v="2025-06-01T00:00:00"/>
    <x v="5"/>
    <x v="5"/>
    <x v="1"/>
  </r>
  <r>
    <n v="3329"/>
    <s v="Luciana Mendes"/>
    <x v="1"/>
    <x v="97"/>
    <s v="Yes"/>
    <n v="5"/>
    <x v="2"/>
    <x v="1"/>
    <s v="-"/>
    <x v="1"/>
    <n v="0"/>
    <n v="1"/>
    <n v="4"/>
    <d v="2024-09-01T00:00:00"/>
    <x v="0"/>
    <x v="5"/>
    <x v="0"/>
  </r>
  <r>
    <n v="3330"/>
    <s v="Marcelo Gouveia"/>
    <x v="0"/>
    <x v="98"/>
    <s v="No"/>
    <n v="15"/>
    <x v="0"/>
    <x v="0"/>
    <n v="30"/>
    <x v="0"/>
    <n v="20"/>
    <n v="15"/>
    <n v="50"/>
    <d v="2024-07-01T00:00:00"/>
    <x v="0"/>
    <x v="5"/>
    <x v="1"/>
  </r>
  <r>
    <n v="3331"/>
    <s v="Nívea Borges"/>
    <x v="2"/>
    <x v="99"/>
    <s v="Yes"/>
    <n v="10"/>
    <x v="0"/>
    <x v="1"/>
    <s v="-"/>
    <x v="0"/>
    <n v="20"/>
    <n v="5"/>
    <n v="25"/>
    <d v="2024-07-01T00:00:00"/>
    <x v="0"/>
    <x v="5"/>
    <x v="0"/>
  </r>
  <r>
    <n v="3332"/>
    <s v="Oscar Nogueira"/>
    <x v="1"/>
    <x v="100"/>
    <s v="No"/>
    <n v="5"/>
    <x v="1"/>
    <x v="1"/>
    <s v="-"/>
    <x v="1"/>
    <n v="0"/>
    <n v="0"/>
    <n v="5"/>
    <d v="2025-06-01T00:00:00"/>
    <x v="5"/>
    <x v="5"/>
    <x v="1"/>
  </r>
  <r>
    <n v="3333"/>
    <s v="Patrícia Alves"/>
    <x v="0"/>
    <x v="101"/>
    <s v="Yes"/>
    <n v="15"/>
    <x v="2"/>
    <x v="0"/>
    <n v="30"/>
    <x v="0"/>
    <n v="20"/>
    <n v="20"/>
    <n v="45"/>
    <d v="2024-09-01T00:00:00"/>
    <x v="0"/>
    <x v="5"/>
    <x v="0"/>
  </r>
  <r>
    <n v="3334"/>
    <s v="Rafaela Silva"/>
    <x v="2"/>
    <x v="102"/>
    <s v="No"/>
    <n v="10"/>
    <x v="2"/>
    <x v="1"/>
    <s v="-"/>
    <x v="0"/>
    <n v="20"/>
    <n v="12"/>
    <n v="18"/>
    <d v="2024-09-01T00:00:00"/>
    <x v="0"/>
    <x v="5"/>
    <x v="1"/>
  </r>
  <r>
    <n v="3335"/>
    <s v="Samantha Moraes"/>
    <x v="1"/>
    <x v="103"/>
    <s v="Yes"/>
    <n v="5"/>
    <x v="0"/>
    <x v="1"/>
    <s v="-"/>
    <x v="1"/>
    <n v="0"/>
    <n v="2"/>
    <n v="3"/>
    <d v="2024-07-01T00:00:00"/>
    <x v="0"/>
    <x v="5"/>
    <x v="0"/>
  </r>
  <r>
    <n v="3336"/>
    <s v="Tatiana Rocha"/>
    <x v="1"/>
    <x v="104"/>
    <s v="Yes"/>
    <n v="5"/>
    <x v="0"/>
    <x v="1"/>
    <s v="-"/>
    <x v="1"/>
    <n v="0"/>
    <n v="0"/>
    <n v="5"/>
    <d v="2024-07-01T00:00:00"/>
    <x v="0"/>
    <x v="5"/>
    <x v="0"/>
  </r>
  <r>
    <n v="3337"/>
    <s v="Ulisses Tavares"/>
    <x v="0"/>
    <x v="105"/>
    <s v="No"/>
    <n v="15"/>
    <x v="2"/>
    <x v="0"/>
    <n v="30"/>
    <x v="0"/>
    <n v="20"/>
    <n v="7"/>
    <n v="58"/>
    <d v="2024-09-01T00:00:00"/>
    <x v="0"/>
    <x v="5"/>
    <x v="1"/>
  </r>
  <r>
    <n v="3338"/>
    <s v="Víctor Lemos"/>
    <x v="2"/>
    <x v="106"/>
    <s v="Yes"/>
    <n v="10"/>
    <x v="1"/>
    <x v="1"/>
    <s v="-"/>
    <x v="0"/>
    <n v="20"/>
    <n v="10"/>
    <n v="20"/>
    <d v="2025-06-01T00:00:00"/>
    <x v="5"/>
    <x v="5"/>
    <x v="0"/>
  </r>
  <r>
    <n v="3339"/>
    <s v="Wilma Barros"/>
    <x v="1"/>
    <x v="107"/>
    <s v="No"/>
    <n v="5"/>
    <x v="2"/>
    <x v="1"/>
    <s v="-"/>
    <x v="1"/>
    <n v="0"/>
    <n v="1"/>
    <n v="4"/>
    <d v="2024-09-01T00:00:00"/>
    <x v="0"/>
    <x v="5"/>
    <x v="1"/>
  </r>
  <r>
    <n v="3340"/>
    <s v="Xavier Nascimento"/>
    <x v="0"/>
    <x v="108"/>
    <s v="Yes"/>
    <n v="15"/>
    <x v="0"/>
    <x v="0"/>
    <n v="30"/>
    <x v="0"/>
    <n v="20"/>
    <n v="15"/>
    <n v="50"/>
    <d v="2024-07-01T00:00:00"/>
    <x v="0"/>
    <x v="5"/>
    <x v="0"/>
  </r>
  <r>
    <n v="3341"/>
    <s v="Yago Pereira"/>
    <x v="2"/>
    <x v="109"/>
    <s v="No"/>
    <n v="10"/>
    <x v="0"/>
    <x v="1"/>
    <s v="-"/>
    <x v="0"/>
    <n v="20"/>
    <n v="5"/>
    <n v="25"/>
    <d v="2024-07-01T00:00:00"/>
    <x v="0"/>
    <x v="5"/>
    <x v="1"/>
  </r>
  <r>
    <n v="3342"/>
    <s v="Zilda Ferreira"/>
    <x v="1"/>
    <x v="110"/>
    <s v="Yes"/>
    <n v="5"/>
    <x v="1"/>
    <x v="1"/>
    <s v="-"/>
    <x v="1"/>
    <n v="0"/>
    <n v="0"/>
    <n v="5"/>
    <d v="2025-06-01T00:00:00"/>
    <x v="5"/>
    <x v="5"/>
    <x v="0"/>
  </r>
  <r>
    <n v="3343"/>
    <s v="Amanda Lopes"/>
    <x v="0"/>
    <x v="111"/>
    <s v="No"/>
    <n v="15"/>
    <x v="2"/>
    <x v="0"/>
    <n v="30"/>
    <x v="0"/>
    <n v="20"/>
    <n v="20"/>
    <n v="45"/>
    <d v="2024-09-01T00:00:00"/>
    <x v="0"/>
    <x v="5"/>
    <x v="1"/>
  </r>
  <r>
    <n v="3344"/>
    <s v="Bruno Miranda"/>
    <x v="2"/>
    <x v="112"/>
    <s v="Yes"/>
    <n v="10"/>
    <x v="2"/>
    <x v="1"/>
    <s v="-"/>
    <x v="0"/>
    <n v="20"/>
    <n v="12"/>
    <n v="18"/>
    <d v="2024-09-01T00:00:00"/>
    <x v="0"/>
    <x v="5"/>
    <x v="0"/>
  </r>
  <r>
    <n v="3345"/>
    <s v="Célia Torres"/>
    <x v="1"/>
    <x v="113"/>
    <s v="No"/>
    <n v="5"/>
    <x v="0"/>
    <x v="1"/>
    <s v="-"/>
    <x v="1"/>
    <n v="0"/>
    <n v="2"/>
    <n v="3"/>
    <d v="2024-07-01T00:00:00"/>
    <x v="0"/>
    <x v="5"/>
    <x v="1"/>
  </r>
  <r>
    <n v="3346"/>
    <s v="Diogo Souza"/>
    <x v="0"/>
    <x v="114"/>
    <s v="Yes"/>
    <n v="15"/>
    <x v="1"/>
    <x v="0"/>
    <n v="30"/>
    <x v="0"/>
    <n v="20"/>
    <n v="5"/>
    <n v="60"/>
    <d v="2025-06-01T00:00:00"/>
    <x v="5"/>
    <x v="5"/>
    <x v="0"/>
  </r>
  <r>
    <n v="3347"/>
    <s v="Elisa Castro"/>
    <x v="2"/>
    <x v="115"/>
    <s v="No"/>
    <n v="10"/>
    <x v="0"/>
    <x v="1"/>
    <s v="-"/>
    <x v="0"/>
    <n v="20"/>
    <n v="10"/>
    <n v="20"/>
    <d v="2024-07-01T00:00:00"/>
    <x v="0"/>
    <x v="5"/>
    <x v="1"/>
  </r>
  <r>
    <n v="3348"/>
    <s v="Fátima Lima"/>
    <x v="1"/>
    <x v="116"/>
    <s v="Yes"/>
    <n v="5"/>
    <x v="2"/>
    <x v="1"/>
    <s v="-"/>
    <x v="1"/>
    <n v="0"/>
    <n v="0"/>
    <n v="5"/>
    <d v="2024-09-01T00:00:00"/>
    <x v="0"/>
    <x v="5"/>
    <x v="0"/>
  </r>
  <r>
    <n v="3349"/>
    <s v="Geraldo Ribeiro"/>
    <x v="0"/>
    <x v="117"/>
    <s v="No"/>
    <n v="15"/>
    <x v="0"/>
    <x v="0"/>
    <n v="30"/>
    <x v="0"/>
    <n v="20"/>
    <n v="3"/>
    <n v="62"/>
    <d v="2024-07-01T00:00:00"/>
    <x v="0"/>
    <x v="5"/>
    <x v="1"/>
  </r>
  <r>
    <n v="3350"/>
    <s v="Hélio Martins"/>
    <x v="2"/>
    <x v="118"/>
    <s v="Yes"/>
    <n v="10"/>
    <x v="1"/>
    <x v="1"/>
    <s v="-"/>
    <x v="0"/>
    <n v="20"/>
    <n v="15"/>
    <n v="15"/>
    <d v="2025-06-01T00:00:00"/>
    <x v="5"/>
    <x v="5"/>
    <x v="0"/>
  </r>
  <r>
    <n v="3351"/>
    <s v="Íris Santos"/>
    <x v="1"/>
    <x v="119"/>
    <s v="No"/>
    <n v="5"/>
    <x v="0"/>
    <x v="1"/>
    <s v="-"/>
    <x v="1"/>
    <n v="0"/>
    <n v="1"/>
    <n v="4"/>
    <d v="2024-07-01T00:00:00"/>
    <x v="0"/>
    <x v="5"/>
    <x v="1"/>
  </r>
  <r>
    <n v="3352"/>
    <s v="João Marcelo"/>
    <x v="0"/>
    <x v="120"/>
    <s v="Yes"/>
    <n v="15"/>
    <x v="2"/>
    <x v="0"/>
    <n v="30"/>
    <x v="0"/>
    <n v="20"/>
    <n v="7"/>
    <n v="58"/>
    <d v="2024-09-01T00:00:00"/>
    <x v="0"/>
    <x v="5"/>
    <x v="0"/>
  </r>
  <r>
    <n v="3353"/>
    <s v="Larissa Gomes"/>
    <x v="2"/>
    <x v="121"/>
    <s v="No"/>
    <n v="10"/>
    <x v="0"/>
    <x v="1"/>
    <s v="-"/>
    <x v="0"/>
    <n v="20"/>
    <n v="10"/>
    <n v="20"/>
    <d v="2024-07-01T00:00:00"/>
    <x v="0"/>
    <x v="5"/>
    <x v="1"/>
  </r>
  <r>
    <n v="3354"/>
    <s v="Márcio Silva"/>
    <x v="1"/>
    <x v="122"/>
    <s v="Yes"/>
    <n v="5"/>
    <x v="1"/>
    <x v="1"/>
    <s v="-"/>
    <x v="1"/>
    <n v="0"/>
    <n v="0"/>
    <n v="5"/>
    <d v="2025-06-01T00:00:00"/>
    <x v="5"/>
    <x v="5"/>
    <x v="0"/>
  </r>
  <r>
    <n v="3355"/>
    <s v="Nadia Costa"/>
    <x v="0"/>
    <x v="123"/>
    <s v="No"/>
    <n v="15"/>
    <x v="0"/>
    <x v="0"/>
    <n v="30"/>
    <x v="0"/>
    <n v="20"/>
    <n v="20"/>
    <n v="45"/>
    <d v="2024-07-01T00:00:00"/>
    <x v="0"/>
    <x v="5"/>
    <x v="1"/>
  </r>
  <r>
    <n v="3356"/>
    <s v="Oscar Almeida"/>
    <x v="2"/>
    <x v="124"/>
    <s v="Yes"/>
    <n v="10"/>
    <x v="2"/>
    <x v="1"/>
    <s v="-"/>
    <x v="0"/>
    <n v="20"/>
    <n v="15"/>
    <n v="15"/>
    <d v="2024-09-01T00:00:00"/>
    <x v="0"/>
    <x v="5"/>
    <x v="0"/>
  </r>
  <r>
    <n v="3357"/>
    <s v="Patricia Soares"/>
    <x v="1"/>
    <x v="125"/>
    <s v="No"/>
    <n v="5"/>
    <x v="0"/>
    <x v="1"/>
    <s v="-"/>
    <x v="1"/>
    <n v="0"/>
    <n v="1"/>
    <n v="4"/>
    <d v="2024-08-01T00:00:00"/>
    <x v="0"/>
    <x v="6"/>
    <x v="1"/>
  </r>
  <r>
    <n v="3358"/>
    <s v="Quênia Barros"/>
    <x v="0"/>
    <x v="126"/>
    <s v="Yes"/>
    <n v="15"/>
    <x v="1"/>
    <x v="0"/>
    <n v="30"/>
    <x v="0"/>
    <n v="20"/>
    <n v="3"/>
    <n v="62"/>
    <d v="2025-07-01T00:00:00"/>
    <x v="6"/>
    <x v="6"/>
    <x v="0"/>
  </r>
  <r>
    <n v="3359"/>
    <s v="Rafael Torres"/>
    <x v="2"/>
    <x v="127"/>
    <s v="No"/>
    <n v="10"/>
    <x v="0"/>
    <x v="1"/>
    <s v="-"/>
    <x v="0"/>
    <n v="20"/>
    <n v="10"/>
    <n v="20"/>
    <d v="2024-08-01T00:00:00"/>
    <x v="0"/>
    <x v="6"/>
    <x v="1"/>
  </r>
  <r>
    <n v="3360"/>
    <s v="Silvia Nascimento"/>
    <x v="1"/>
    <x v="128"/>
    <s v="Yes"/>
    <n v="5"/>
    <x v="2"/>
    <x v="1"/>
    <s v="-"/>
    <x v="1"/>
    <n v="0"/>
    <n v="0"/>
    <n v="5"/>
    <d v="2024-10-01T00:00:00"/>
    <x v="0"/>
    <x v="6"/>
    <x v="0"/>
  </r>
  <r>
    <n v="3361"/>
    <s v="Tiago Mendes"/>
    <x v="0"/>
    <x v="129"/>
    <s v="No"/>
    <n v="15"/>
    <x v="0"/>
    <x v="0"/>
    <n v="30"/>
    <x v="0"/>
    <n v="20"/>
    <n v="15"/>
    <n v="50"/>
    <d v="2024-08-01T00:00:00"/>
    <x v="0"/>
    <x v="6"/>
    <x v="1"/>
  </r>
  <r>
    <n v="3362"/>
    <s v="Ursula Silva"/>
    <x v="2"/>
    <x v="130"/>
    <s v="Yes"/>
    <n v="10"/>
    <x v="1"/>
    <x v="1"/>
    <s v="-"/>
    <x v="0"/>
    <n v="20"/>
    <n v="15"/>
    <n v="15"/>
    <d v="2025-07-01T00:00:00"/>
    <x v="6"/>
    <x v="6"/>
    <x v="0"/>
  </r>
  <r>
    <n v="3363"/>
    <s v="Vanessa Moraes"/>
    <x v="1"/>
    <x v="131"/>
    <s v="No"/>
    <n v="5"/>
    <x v="0"/>
    <x v="1"/>
    <s v="-"/>
    <x v="1"/>
    <n v="0"/>
    <n v="1"/>
    <n v="4"/>
    <d v="2024-08-01T00:00:00"/>
    <x v="0"/>
    <x v="6"/>
    <x v="1"/>
  </r>
  <r>
    <n v="3364"/>
    <s v="Waldir Junior"/>
    <x v="0"/>
    <x v="132"/>
    <s v="Yes"/>
    <n v="15"/>
    <x v="2"/>
    <x v="0"/>
    <n v="30"/>
    <x v="0"/>
    <n v="20"/>
    <n v="7"/>
    <n v="58"/>
    <d v="2024-10-01T00:00:00"/>
    <x v="0"/>
    <x v="6"/>
    <x v="0"/>
  </r>
  <r>
    <n v="3365"/>
    <s v="Xavier Lopes"/>
    <x v="2"/>
    <x v="133"/>
    <s v="No"/>
    <n v="10"/>
    <x v="0"/>
    <x v="1"/>
    <s v="-"/>
    <x v="0"/>
    <n v="20"/>
    <n v="10"/>
    <n v="20"/>
    <d v="2024-08-01T00:00:00"/>
    <x v="0"/>
    <x v="6"/>
    <x v="1"/>
  </r>
  <r>
    <n v="3366"/>
    <s v="Yolanda Freitas"/>
    <x v="1"/>
    <x v="134"/>
    <s v="Yes"/>
    <n v="5"/>
    <x v="0"/>
    <x v="1"/>
    <s v="-"/>
    <x v="1"/>
    <n v="0"/>
    <n v="0"/>
    <n v="5"/>
    <d v="2024-08-01T00:00:00"/>
    <x v="0"/>
    <x v="6"/>
    <x v="0"/>
  </r>
  <r>
    <n v="3367"/>
    <s v="Zacarias Nunes"/>
    <x v="0"/>
    <x v="135"/>
    <s v="No"/>
    <n v="15"/>
    <x v="2"/>
    <x v="0"/>
    <n v="30"/>
    <x v="0"/>
    <n v="20"/>
    <n v="7"/>
    <n v="58"/>
    <d v="2024-10-01T00:00:00"/>
    <x v="0"/>
    <x v="6"/>
    <x v="1"/>
  </r>
  <r>
    <n v="3368"/>
    <s v="Ana Clara Barreto"/>
    <x v="2"/>
    <x v="136"/>
    <s v="Yes"/>
    <n v="10"/>
    <x v="1"/>
    <x v="1"/>
    <s v="-"/>
    <x v="0"/>
    <n v="20"/>
    <n v="10"/>
    <n v="20"/>
    <d v="2025-07-01T00:00:00"/>
    <x v="6"/>
    <x v="6"/>
    <x v="0"/>
  </r>
  <r>
    <n v="3369"/>
    <s v="Bruno Henrique"/>
    <x v="1"/>
    <x v="137"/>
    <s v="No"/>
    <n v="5"/>
    <x v="2"/>
    <x v="1"/>
    <s v="-"/>
    <x v="1"/>
    <n v="0"/>
    <n v="1"/>
    <n v="4"/>
    <d v="2024-10-01T00:00:00"/>
    <x v="0"/>
    <x v="6"/>
    <x v="1"/>
  </r>
  <r>
    <n v="3370"/>
    <s v="Carlos Eduardo"/>
    <x v="0"/>
    <x v="138"/>
    <s v="Yes"/>
    <n v="15"/>
    <x v="0"/>
    <x v="0"/>
    <n v="30"/>
    <x v="0"/>
    <n v="20"/>
    <n v="15"/>
    <n v="50"/>
    <d v="2024-08-01T00:00:00"/>
    <x v="0"/>
    <x v="6"/>
    <x v="0"/>
  </r>
  <r>
    <n v="3371"/>
    <s v="Débora Lima"/>
    <x v="2"/>
    <x v="139"/>
    <s v="No"/>
    <n v="10"/>
    <x v="0"/>
    <x v="1"/>
    <s v="-"/>
    <x v="0"/>
    <n v="20"/>
    <n v="5"/>
    <n v="25"/>
    <d v="2024-08-01T00:00:00"/>
    <x v="0"/>
    <x v="6"/>
    <x v="1"/>
  </r>
  <r>
    <n v="3372"/>
    <s v="Elisa Neves"/>
    <x v="1"/>
    <x v="140"/>
    <s v="Yes"/>
    <n v="5"/>
    <x v="1"/>
    <x v="1"/>
    <s v="-"/>
    <x v="1"/>
    <n v="0"/>
    <n v="0"/>
    <n v="5"/>
    <d v="2025-07-01T00:00:00"/>
    <x v="6"/>
    <x v="6"/>
    <x v="0"/>
  </r>
  <r>
    <n v="3373"/>
    <s v="Fabiano Gomes"/>
    <x v="0"/>
    <x v="141"/>
    <s v="No"/>
    <n v="15"/>
    <x v="2"/>
    <x v="0"/>
    <n v="30"/>
    <x v="0"/>
    <n v="20"/>
    <n v="20"/>
    <n v="45"/>
    <d v="2024-10-01T00:00:00"/>
    <x v="0"/>
    <x v="6"/>
    <x v="1"/>
  </r>
  <r>
    <n v="3374"/>
    <s v="Gisele Oliveira"/>
    <x v="2"/>
    <x v="142"/>
    <s v="Yes"/>
    <n v="10"/>
    <x v="2"/>
    <x v="1"/>
    <s v="-"/>
    <x v="0"/>
    <n v="20"/>
    <n v="12"/>
    <n v="18"/>
    <d v="2024-10-01T00:00:00"/>
    <x v="0"/>
    <x v="6"/>
    <x v="0"/>
  </r>
  <r>
    <n v="3375"/>
    <s v="Héctor Silva"/>
    <x v="1"/>
    <x v="143"/>
    <s v="No"/>
    <n v="5"/>
    <x v="0"/>
    <x v="1"/>
    <s v="-"/>
    <x v="1"/>
    <n v="0"/>
    <n v="2"/>
    <n v="3"/>
    <d v="2024-08-01T00:00:00"/>
    <x v="0"/>
    <x v="6"/>
    <x v="1"/>
  </r>
  <r>
    <n v="3376"/>
    <s v="Igor Martins"/>
    <x v="0"/>
    <x v="144"/>
    <s v="Yes"/>
    <n v="15"/>
    <x v="1"/>
    <x v="0"/>
    <n v="30"/>
    <x v="0"/>
    <n v="20"/>
    <n v="5"/>
    <n v="60"/>
    <d v="2025-07-01T00:00:00"/>
    <x v="6"/>
    <x v="6"/>
    <x v="0"/>
  </r>
  <r>
    <n v="3377"/>
    <s v="Joana Figueiredo"/>
    <x v="2"/>
    <x v="145"/>
    <s v="No"/>
    <n v="10"/>
    <x v="0"/>
    <x v="1"/>
    <s v="-"/>
    <x v="0"/>
    <n v="20"/>
    <n v="10"/>
    <n v="20"/>
    <d v="2024-08-01T00:00:00"/>
    <x v="0"/>
    <x v="6"/>
    <x v="1"/>
  </r>
  <r>
    <n v="3378"/>
    <s v="Kleber Machado"/>
    <x v="1"/>
    <x v="146"/>
    <s v="Yes"/>
    <n v="5"/>
    <x v="2"/>
    <x v="1"/>
    <s v="-"/>
    <x v="1"/>
    <n v="0"/>
    <n v="0"/>
    <n v="5"/>
    <d v="2024-10-01T00:00:00"/>
    <x v="0"/>
    <x v="6"/>
    <x v="0"/>
  </r>
  <r>
    <n v="3379"/>
    <s v="Luciana Santos"/>
    <x v="0"/>
    <x v="147"/>
    <s v="No"/>
    <n v="15"/>
    <x v="0"/>
    <x v="0"/>
    <n v="30"/>
    <x v="0"/>
    <n v="20"/>
    <n v="3"/>
    <n v="62"/>
    <d v="2024-08-01T00:00:00"/>
    <x v="0"/>
    <x v="6"/>
    <x v="1"/>
  </r>
  <r>
    <n v="3380"/>
    <s v="Marcos Teixeira"/>
    <x v="2"/>
    <x v="148"/>
    <s v="Yes"/>
    <n v="10"/>
    <x v="1"/>
    <x v="1"/>
    <s v="-"/>
    <x v="0"/>
    <n v="20"/>
    <n v="15"/>
    <n v="15"/>
    <d v="2025-07-01T00:00:00"/>
    <x v="6"/>
    <x v="6"/>
    <x v="0"/>
  </r>
  <r>
    <n v="3381"/>
    <s v="Natalia Costa"/>
    <x v="1"/>
    <x v="149"/>
    <s v="No"/>
    <n v="5"/>
    <x v="0"/>
    <x v="1"/>
    <s v="-"/>
    <x v="1"/>
    <n v="0"/>
    <n v="1"/>
    <n v="4"/>
    <d v="2024-08-01T00:00:00"/>
    <x v="0"/>
    <x v="6"/>
    <x v="1"/>
  </r>
  <r>
    <n v="3382"/>
    <s v="Oscar Ribeiro"/>
    <x v="0"/>
    <x v="150"/>
    <s v="Yes"/>
    <n v="15"/>
    <x v="2"/>
    <x v="0"/>
    <n v="30"/>
    <x v="0"/>
    <n v="20"/>
    <n v="7"/>
    <n v="58"/>
    <d v="2024-10-01T00:00:00"/>
    <x v="0"/>
    <x v="6"/>
    <x v="0"/>
  </r>
  <r>
    <n v="3383"/>
    <s v="Patricia Almeida"/>
    <x v="2"/>
    <x v="151"/>
    <s v="No"/>
    <n v="10"/>
    <x v="0"/>
    <x v="1"/>
    <s v="-"/>
    <x v="0"/>
    <n v="20"/>
    <n v="10"/>
    <n v="20"/>
    <d v="2024-08-01T00:00:00"/>
    <x v="0"/>
    <x v="6"/>
    <x v="1"/>
  </r>
  <r>
    <n v="3384"/>
    <s v="Quirino Junior"/>
    <x v="1"/>
    <x v="152"/>
    <s v="Yes"/>
    <n v="5"/>
    <x v="1"/>
    <x v="1"/>
    <s v="-"/>
    <x v="1"/>
    <n v="0"/>
    <n v="0"/>
    <n v="5"/>
    <d v="2025-07-01T00:00:00"/>
    <x v="6"/>
    <x v="6"/>
    <x v="0"/>
  </r>
  <r>
    <n v="3385"/>
    <s v="Renata Machado"/>
    <x v="0"/>
    <x v="153"/>
    <s v="No"/>
    <n v="15"/>
    <x v="0"/>
    <x v="0"/>
    <n v="30"/>
    <x v="0"/>
    <n v="20"/>
    <n v="20"/>
    <n v="45"/>
    <d v="2024-08-01T00:00:00"/>
    <x v="0"/>
    <x v="6"/>
    <x v="1"/>
  </r>
  <r>
    <n v="3386"/>
    <s v="Sônia Alves"/>
    <x v="2"/>
    <x v="154"/>
    <s v="Yes"/>
    <n v="10"/>
    <x v="2"/>
    <x v="1"/>
    <s v="-"/>
    <x v="0"/>
    <n v="20"/>
    <n v="15"/>
    <n v="15"/>
    <d v="2024-10-01T00:00:00"/>
    <x v="0"/>
    <x v="6"/>
    <x v="0"/>
  </r>
  <r>
    <n v="3387"/>
    <s v="Tiago Nunes"/>
    <x v="1"/>
    <x v="155"/>
    <s v="No"/>
    <n v="5"/>
    <x v="0"/>
    <x v="1"/>
    <s v="-"/>
    <x v="1"/>
    <n v="0"/>
    <n v="1"/>
    <n v="4"/>
    <d v="2024-08-01T00:00:00"/>
    <x v="0"/>
    <x v="6"/>
    <x v="1"/>
  </r>
  <r>
    <n v="3388"/>
    <s v="Ulysses Pereira"/>
    <x v="0"/>
    <x v="156"/>
    <s v="Yes"/>
    <n v="15"/>
    <x v="1"/>
    <x v="0"/>
    <n v="30"/>
    <x v="0"/>
    <n v="20"/>
    <n v="3"/>
    <n v="62"/>
    <d v="2025-08-01T00:00:00"/>
    <x v="7"/>
    <x v="7"/>
    <x v="0"/>
  </r>
  <r>
    <n v="3389"/>
    <s v="Vanessa Lima"/>
    <x v="2"/>
    <x v="157"/>
    <s v="No"/>
    <n v="10"/>
    <x v="0"/>
    <x v="1"/>
    <s v="-"/>
    <x v="0"/>
    <n v="20"/>
    <n v="10"/>
    <n v="20"/>
    <d v="2024-09-01T00:00:00"/>
    <x v="0"/>
    <x v="7"/>
    <x v="1"/>
  </r>
  <r>
    <n v="3390"/>
    <s v="Wagner Santos"/>
    <x v="1"/>
    <x v="158"/>
    <s v="Yes"/>
    <n v="5"/>
    <x v="2"/>
    <x v="1"/>
    <s v="-"/>
    <x v="1"/>
    <n v="0"/>
    <n v="0"/>
    <n v="5"/>
    <d v="2024-11-01T00:00:00"/>
    <x v="0"/>
    <x v="7"/>
    <x v="0"/>
  </r>
  <r>
    <n v="3391"/>
    <s v="Xuxa Meneghel"/>
    <x v="0"/>
    <x v="159"/>
    <s v="No"/>
    <n v="15"/>
    <x v="0"/>
    <x v="0"/>
    <n v="30"/>
    <x v="0"/>
    <n v="20"/>
    <n v="15"/>
    <n v="50"/>
    <d v="2024-09-01T00:00:00"/>
    <x v="0"/>
    <x v="7"/>
    <x v="1"/>
  </r>
  <r>
    <n v="3392"/>
    <s v="Yasmin Silva"/>
    <x v="2"/>
    <x v="160"/>
    <s v="Yes"/>
    <n v="10"/>
    <x v="1"/>
    <x v="1"/>
    <s v="-"/>
    <x v="0"/>
    <n v="20"/>
    <n v="15"/>
    <n v="15"/>
    <d v="2025-08-01T00:00:00"/>
    <x v="7"/>
    <x v="7"/>
    <x v="0"/>
  </r>
  <r>
    <n v="3393"/>
    <s v="Zacarias de Souza"/>
    <x v="1"/>
    <x v="161"/>
    <s v="No"/>
    <n v="5"/>
    <x v="0"/>
    <x v="1"/>
    <s v="-"/>
    <x v="1"/>
    <n v="0"/>
    <n v="1"/>
    <n v="4"/>
    <d v="2024-09-01T00:00:00"/>
    <x v="0"/>
    <x v="7"/>
    <x v="1"/>
  </r>
  <r>
    <n v="3394"/>
    <s v="André Lima"/>
    <x v="0"/>
    <x v="162"/>
    <s v="Yes"/>
    <n v="15"/>
    <x v="2"/>
    <x v="0"/>
    <n v="30"/>
    <x v="0"/>
    <n v="20"/>
    <n v="7"/>
    <n v="58"/>
    <d v="2024-11-01T00:00:00"/>
    <x v="0"/>
    <x v="7"/>
    <x v="0"/>
  </r>
  <r>
    <n v="3395"/>
    <s v="Bianca Freitas"/>
    <x v="2"/>
    <x v="163"/>
    <s v="No"/>
    <n v="10"/>
    <x v="0"/>
    <x v="1"/>
    <s v="-"/>
    <x v="0"/>
    <n v="20"/>
    <n v="10"/>
    <n v="20"/>
    <d v="2024-09-01T00:00:00"/>
    <x v="0"/>
    <x v="7"/>
    <x v="1"/>
  </r>
  <r>
    <n v="3396"/>
    <s v="Caio Mendes"/>
    <x v="1"/>
    <x v="164"/>
    <s v="Yes"/>
    <n v="5"/>
    <x v="1"/>
    <x v="1"/>
    <s v="-"/>
    <x v="1"/>
    <n v="0"/>
    <n v="0"/>
    <n v="5"/>
    <d v="2025-08-01T00:00:00"/>
    <x v="7"/>
    <x v="7"/>
    <x v="0"/>
  </r>
  <r>
    <n v="3397"/>
    <s v="Daniela Moura"/>
    <x v="0"/>
    <x v="165"/>
    <s v="No"/>
    <n v="15"/>
    <x v="0"/>
    <x v="0"/>
    <n v="30"/>
    <x v="0"/>
    <n v="20"/>
    <n v="20"/>
    <n v="45"/>
    <d v="2024-09-01T00:00:00"/>
    <x v="0"/>
    <x v="7"/>
    <x v="1"/>
  </r>
  <r>
    <n v="3398"/>
    <s v="Eduardo Costa"/>
    <x v="2"/>
    <x v="166"/>
    <s v="Yes"/>
    <n v="10"/>
    <x v="2"/>
    <x v="1"/>
    <s v="-"/>
    <x v="0"/>
    <n v="20"/>
    <n v="15"/>
    <n v="15"/>
    <d v="2024-11-01T00:00:00"/>
    <x v="0"/>
    <x v="7"/>
    <x v="0"/>
  </r>
  <r>
    <n v="3399"/>
    <s v="Fernanda Gomes"/>
    <x v="1"/>
    <x v="167"/>
    <s v="No"/>
    <n v="5"/>
    <x v="0"/>
    <x v="1"/>
    <s v="-"/>
    <x v="1"/>
    <n v="0"/>
    <n v="1"/>
    <n v="4"/>
    <d v="2024-09-01T00:00:00"/>
    <x v="0"/>
    <x v="7"/>
    <x v="1"/>
  </r>
  <r>
    <n v="3400"/>
    <s v="Guilherme Souza"/>
    <x v="0"/>
    <x v="168"/>
    <s v="Yes"/>
    <n v="15"/>
    <x v="1"/>
    <x v="0"/>
    <n v="30"/>
    <x v="0"/>
    <n v="20"/>
    <n v="5"/>
    <n v="60"/>
    <d v="2025-08-01T00:00:00"/>
    <x v="7"/>
    <x v="7"/>
    <x v="0"/>
  </r>
  <r>
    <n v="3401"/>
    <s v="Helena Ribeiro"/>
    <x v="2"/>
    <x v="169"/>
    <s v="No"/>
    <n v="10"/>
    <x v="0"/>
    <x v="1"/>
    <s v="-"/>
    <x v="0"/>
    <n v="20"/>
    <n v="10"/>
    <n v="20"/>
    <d v="2024-09-01T00:00:00"/>
    <x v="0"/>
    <x v="7"/>
    <x v="1"/>
  </r>
  <r>
    <n v="3402"/>
    <s v="Igor Santos"/>
    <x v="1"/>
    <x v="170"/>
    <s v="Yes"/>
    <n v="5"/>
    <x v="2"/>
    <x v="1"/>
    <s v="-"/>
    <x v="1"/>
    <n v="0"/>
    <n v="0"/>
    <n v="5"/>
    <d v="2024-11-01T00:00:00"/>
    <x v="0"/>
    <x v="7"/>
    <x v="0"/>
  </r>
  <r>
    <n v="3403"/>
    <s v="João Carvalho"/>
    <x v="0"/>
    <x v="171"/>
    <s v="No"/>
    <n v="15"/>
    <x v="0"/>
    <x v="0"/>
    <n v="30"/>
    <x v="0"/>
    <n v="20"/>
    <n v="3"/>
    <n v="62"/>
    <d v="2024-09-01T00:00:00"/>
    <x v="0"/>
    <x v="7"/>
    <x v="1"/>
  </r>
  <r>
    <n v="3404"/>
    <s v="Klara Fagundes"/>
    <x v="2"/>
    <x v="172"/>
    <s v="Yes"/>
    <n v="10"/>
    <x v="1"/>
    <x v="1"/>
    <s v="-"/>
    <x v="0"/>
    <n v="20"/>
    <n v="15"/>
    <n v="15"/>
    <d v="2025-08-01T00:00:00"/>
    <x v="7"/>
    <x v="7"/>
    <x v="0"/>
  </r>
  <r>
    <n v="3405"/>
    <s v="Lúcia Mendonça"/>
    <x v="1"/>
    <x v="173"/>
    <s v="No"/>
    <n v="5"/>
    <x v="0"/>
    <x v="1"/>
    <s v="-"/>
    <x v="1"/>
    <n v="0"/>
    <n v="1"/>
    <n v="4"/>
    <d v="2024-09-01T00:00:00"/>
    <x v="0"/>
    <x v="7"/>
    <x v="1"/>
  </r>
  <r>
    <n v="3406"/>
    <s v="Marcelo Novaes"/>
    <x v="1"/>
    <x v="174"/>
    <s v="Yes"/>
    <n v="5"/>
    <x v="0"/>
    <x v="1"/>
    <s v="-"/>
    <x v="1"/>
    <n v="0"/>
    <n v="0"/>
    <n v="5"/>
    <d v="2024-09-01T00:00:00"/>
    <x v="0"/>
    <x v="7"/>
    <x v="0"/>
  </r>
  <r>
    <n v="3407"/>
    <s v="Nina Pacheco"/>
    <x v="0"/>
    <x v="175"/>
    <s v="No"/>
    <n v="15"/>
    <x v="2"/>
    <x v="0"/>
    <n v="30"/>
    <x v="0"/>
    <n v="20"/>
    <n v="7"/>
    <n v="58"/>
    <d v="2024-11-01T00:00:00"/>
    <x v="0"/>
    <x v="7"/>
    <x v="1"/>
  </r>
  <r>
    <n v="3408"/>
    <s v="Olívia Rios"/>
    <x v="2"/>
    <x v="176"/>
    <s v="Yes"/>
    <n v="10"/>
    <x v="1"/>
    <x v="1"/>
    <s v="-"/>
    <x v="0"/>
    <n v="20"/>
    <n v="10"/>
    <n v="20"/>
    <d v="2025-08-01T00:00:00"/>
    <x v="7"/>
    <x v="7"/>
    <x v="0"/>
  </r>
  <r>
    <n v="3409"/>
    <s v="Paulo Quintana"/>
    <x v="1"/>
    <x v="177"/>
    <s v="No"/>
    <n v="5"/>
    <x v="2"/>
    <x v="1"/>
    <s v="-"/>
    <x v="1"/>
    <n v="0"/>
    <n v="1"/>
    <n v="4"/>
    <d v="2024-11-01T00:00:00"/>
    <x v="0"/>
    <x v="7"/>
    <x v="1"/>
  </r>
  <r>
    <n v="3410"/>
    <s v="Raquel Domingos"/>
    <x v="0"/>
    <x v="178"/>
    <s v="Yes"/>
    <n v="15"/>
    <x v="0"/>
    <x v="0"/>
    <n v="30"/>
    <x v="0"/>
    <n v="20"/>
    <n v="15"/>
    <n v="50"/>
    <d v="2024-09-01T00:00:00"/>
    <x v="0"/>
    <x v="7"/>
    <x v="0"/>
  </r>
  <r>
    <n v="3411"/>
    <s v="Samuel Viana"/>
    <x v="2"/>
    <x v="179"/>
    <s v="No"/>
    <n v="10"/>
    <x v="0"/>
    <x v="1"/>
    <s v="-"/>
    <x v="0"/>
    <n v="20"/>
    <n v="5"/>
    <n v="25"/>
    <d v="2024-09-01T00:00:00"/>
    <x v="0"/>
    <x v="7"/>
    <x v="1"/>
  </r>
  <r>
    <n v="3412"/>
    <s v="Tatiane Rocha"/>
    <x v="1"/>
    <x v="180"/>
    <s v="Yes"/>
    <n v="5"/>
    <x v="1"/>
    <x v="1"/>
    <s v="-"/>
    <x v="1"/>
    <n v="0"/>
    <n v="0"/>
    <n v="5"/>
    <d v="2025-08-01T00:00:00"/>
    <x v="7"/>
    <x v="7"/>
    <x v="0"/>
  </r>
  <r>
    <n v="3413"/>
    <s v="Ulysses Farias"/>
    <x v="0"/>
    <x v="181"/>
    <s v="No"/>
    <n v="15"/>
    <x v="2"/>
    <x v="0"/>
    <n v="30"/>
    <x v="0"/>
    <n v="20"/>
    <n v="20"/>
    <n v="45"/>
    <d v="2024-11-01T00:00:00"/>
    <x v="0"/>
    <x v="7"/>
    <x v="1"/>
  </r>
  <r>
    <n v="3414"/>
    <s v="Vanessa Moreira"/>
    <x v="2"/>
    <x v="182"/>
    <s v="Yes"/>
    <n v="10"/>
    <x v="2"/>
    <x v="1"/>
    <s v="-"/>
    <x v="0"/>
    <n v="20"/>
    <n v="12"/>
    <n v="18"/>
    <d v="2024-11-01T00:00:00"/>
    <x v="0"/>
    <x v="7"/>
    <x v="0"/>
  </r>
  <r>
    <n v="3415"/>
    <s v="William Carvalho"/>
    <x v="1"/>
    <x v="183"/>
    <s v="No"/>
    <n v="5"/>
    <x v="0"/>
    <x v="1"/>
    <s v="-"/>
    <x v="1"/>
    <n v="0"/>
    <n v="2"/>
    <n v="3"/>
    <d v="2024-09-01T00:00:00"/>
    <x v="0"/>
    <x v="7"/>
    <x v="1"/>
  </r>
  <r>
    <n v="3416"/>
    <s v="Ximena Barros"/>
    <x v="0"/>
    <x v="184"/>
    <s v="Yes"/>
    <n v="15"/>
    <x v="1"/>
    <x v="0"/>
    <n v="30"/>
    <x v="0"/>
    <n v="20"/>
    <n v="5"/>
    <n v="60"/>
    <d v="2025-08-01T00:00:00"/>
    <x v="7"/>
    <x v="7"/>
    <x v="0"/>
  </r>
  <r>
    <n v="3417"/>
    <s v="Yara Machado"/>
    <x v="2"/>
    <x v="185"/>
    <s v="No"/>
    <n v="10"/>
    <x v="0"/>
    <x v="1"/>
    <s v="-"/>
    <x v="0"/>
    <n v="20"/>
    <n v="10"/>
    <n v="20"/>
    <d v="2024-09-01T00:00:00"/>
    <x v="0"/>
    <x v="7"/>
    <x v="1"/>
  </r>
  <r>
    <n v="3418"/>
    <s v="Zacarias Costa"/>
    <x v="1"/>
    <x v="186"/>
    <s v="Yes"/>
    <n v="5"/>
    <x v="2"/>
    <x v="1"/>
    <s v="-"/>
    <x v="1"/>
    <n v="0"/>
    <n v="0"/>
    <n v="5"/>
    <d v="2024-11-01T00:00:00"/>
    <x v="0"/>
    <x v="7"/>
    <x v="0"/>
  </r>
  <r>
    <n v="3419"/>
    <s v="André Lopes"/>
    <x v="0"/>
    <x v="187"/>
    <s v="No"/>
    <n v="15"/>
    <x v="0"/>
    <x v="0"/>
    <n v="30"/>
    <x v="0"/>
    <n v="20"/>
    <n v="3"/>
    <n v="62"/>
    <d v="2024-10-01T00:00:00"/>
    <x v="0"/>
    <x v="8"/>
    <x v="1"/>
  </r>
  <r>
    <n v="3420"/>
    <s v="Beatriz Souza"/>
    <x v="2"/>
    <x v="188"/>
    <s v="Yes"/>
    <n v="10"/>
    <x v="1"/>
    <x v="1"/>
    <s v="-"/>
    <x v="0"/>
    <n v="20"/>
    <n v="15"/>
    <n v="15"/>
    <d v="2025-09-01T00:00:00"/>
    <x v="8"/>
    <x v="8"/>
    <x v="0"/>
  </r>
  <r>
    <n v="3421"/>
    <s v="Caio Pereira"/>
    <x v="1"/>
    <x v="189"/>
    <s v="No"/>
    <n v="5"/>
    <x v="0"/>
    <x v="1"/>
    <s v="-"/>
    <x v="1"/>
    <n v="0"/>
    <n v="1"/>
    <n v="4"/>
    <d v="2024-10-01T00:00:00"/>
    <x v="0"/>
    <x v="8"/>
    <x v="1"/>
  </r>
  <r>
    <n v="3422"/>
    <s v="Daniela Araújo"/>
    <x v="0"/>
    <x v="190"/>
    <s v="Yes"/>
    <n v="15"/>
    <x v="2"/>
    <x v="0"/>
    <n v="30"/>
    <x v="0"/>
    <n v="20"/>
    <n v="7"/>
    <n v="58"/>
    <d v="2024-12-01T00:00:00"/>
    <x v="9"/>
    <x v="8"/>
    <x v="0"/>
  </r>
  <r>
    <n v="3423"/>
    <s v="Eduardo Santos"/>
    <x v="2"/>
    <x v="191"/>
    <s v="No"/>
    <n v="10"/>
    <x v="0"/>
    <x v="1"/>
    <s v="-"/>
    <x v="0"/>
    <n v="20"/>
    <n v="10"/>
    <n v="20"/>
    <d v="2024-10-01T00:00:00"/>
    <x v="0"/>
    <x v="8"/>
    <x v="1"/>
  </r>
  <r>
    <n v="3424"/>
    <s v="Fernanda Lima"/>
    <x v="1"/>
    <x v="192"/>
    <s v="Yes"/>
    <n v="5"/>
    <x v="1"/>
    <x v="1"/>
    <s v="-"/>
    <x v="1"/>
    <n v="0"/>
    <n v="0"/>
    <n v="5"/>
    <d v="2025-09-01T00:00:00"/>
    <x v="8"/>
    <x v="8"/>
    <x v="0"/>
  </r>
  <r>
    <n v="3425"/>
    <s v="Gabriel Teixeira"/>
    <x v="0"/>
    <x v="193"/>
    <s v="No"/>
    <n v="15"/>
    <x v="0"/>
    <x v="0"/>
    <n v="30"/>
    <x v="0"/>
    <n v="20"/>
    <n v="20"/>
    <n v="45"/>
    <d v="2024-10-01T00:00:00"/>
    <x v="0"/>
    <x v="8"/>
    <x v="1"/>
  </r>
  <r>
    <n v="3426"/>
    <s v="Helena Ribeiro"/>
    <x v="2"/>
    <x v="194"/>
    <s v="Yes"/>
    <n v="10"/>
    <x v="2"/>
    <x v="1"/>
    <s v="-"/>
    <x v="0"/>
    <n v="20"/>
    <n v="15"/>
    <n v="15"/>
    <d v="2024-12-01T00:00:00"/>
    <x v="9"/>
    <x v="8"/>
    <x v="0"/>
  </r>
  <r>
    <n v="3427"/>
    <s v="Igor Mendes"/>
    <x v="1"/>
    <x v="195"/>
    <s v="No"/>
    <n v="5"/>
    <x v="0"/>
    <x v="1"/>
    <s v="-"/>
    <x v="1"/>
    <n v="0"/>
    <n v="1"/>
    <n v="4"/>
    <d v="2024-10-01T00:00:00"/>
    <x v="0"/>
    <x v="8"/>
    <x v="1"/>
  </r>
  <r>
    <n v="3428"/>
    <s v="Joana Silveira"/>
    <x v="0"/>
    <x v="196"/>
    <s v="Yes"/>
    <n v="15"/>
    <x v="1"/>
    <x v="0"/>
    <n v="30"/>
    <x v="0"/>
    <n v="20"/>
    <n v="3"/>
    <n v="62"/>
    <d v="2025-09-01T00:00:00"/>
    <x v="8"/>
    <x v="8"/>
    <x v="0"/>
  </r>
  <r>
    <n v="3429"/>
    <s v="Lucas Martins"/>
    <x v="2"/>
    <x v="197"/>
    <s v="No"/>
    <n v="10"/>
    <x v="0"/>
    <x v="1"/>
    <s v="-"/>
    <x v="0"/>
    <n v="20"/>
    <n v="10"/>
    <n v="20"/>
    <d v="2024-10-01T00:00:00"/>
    <x v="0"/>
    <x v="8"/>
    <x v="1"/>
  </r>
  <r>
    <n v="3430"/>
    <s v="Marcela Gouveia"/>
    <x v="1"/>
    <x v="198"/>
    <s v="Yes"/>
    <n v="5"/>
    <x v="2"/>
    <x v="1"/>
    <s v="-"/>
    <x v="1"/>
    <n v="0"/>
    <n v="0"/>
    <n v="5"/>
    <d v="2024-12-01T00:00:00"/>
    <x v="9"/>
    <x v="8"/>
    <x v="0"/>
  </r>
  <r>
    <n v="3431"/>
    <s v="Nicolas Borges"/>
    <x v="0"/>
    <x v="199"/>
    <s v="No"/>
    <n v="15"/>
    <x v="0"/>
    <x v="0"/>
    <n v="30"/>
    <x v="0"/>
    <n v="20"/>
    <n v="15"/>
    <n v="50"/>
    <d v="2024-10-01T00:00:00"/>
    <x v="0"/>
    <x v="8"/>
    <x v="1"/>
  </r>
  <r>
    <n v="3432"/>
    <s v="Olivia Freitas"/>
    <x v="2"/>
    <x v="200"/>
    <s v="Yes"/>
    <n v="10"/>
    <x v="1"/>
    <x v="1"/>
    <s v="-"/>
    <x v="0"/>
    <n v="20"/>
    <n v="15"/>
    <n v="15"/>
    <d v="2025-09-01T00:00:00"/>
    <x v="8"/>
    <x v="8"/>
    <x v="0"/>
  </r>
  <r>
    <n v="3433"/>
    <s v="Paulo Nogueira"/>
    <x v="1"/>
    <x v="201"/>
    <s v="No"/>
    <n v="5"/>
    <x v="0"/>
    <x v="1"/>
    <s v="-"/>
    <x v="1"/>
    <n v="0"/>
    <n v="1"/>
    <n v="4"/>
    <d v="2024-10-01T00:00:00"/>
    <x v="0"/>
    <x v="8"/>
    <x v="1"/>
  </r>
  <r>
    <n v="3434"/>
    <s v="Raquel Andrade"/>
    <x v="0"/>
    <x v="202"/>
    <s v="Yes"/>
    <n v="15"/>
    <x v="2"/>
    <x v="0"/>
    <n v="30"/>
    <x v="0"/>
    <n v="20"/>
    <n v="7"/>
    <n v="58"/>
    <d v="2024-12-01T00:00:00"/>
    <x v="9"/>
    <x v="8"/>
    <x v="0"/>
  </r>
  <r>
    <n v="3435"/>
    <s v="Sônia Carvalho"/>
    <x v="2"/>
    <x v="203"/>
    <s v="No"/>
    <n v="10"/>
    <x v="0"/>
    <x v="1"/>
    <s v="-"/>
    <x v="0"/>
    <n v="20"/>
    <n v="10"/>
    <n v="20"/>
    <d v="2024-10-01T00:00:00"/>
    <x v="0"/>
    <x v="8"/>
    <x v="1"/>
  </r>
  <r>
    <n v="3436"/>
    <s v="Tiago Rodrigues"/>
    <x v="1"/>
    <x v="204"/>
    <s v="Yes"/>
    <n v="5"/>
    <x v="0"/>
    <x v="1"/>
    <s v="-"/>
    <x v="1"/>
    <n v="0"/>
    <n v="0"/>
    <n v="5"/>
    <d v="2024-10-01T00:00:00"/>
    <x v="0"/>
    <x v="8"/>
    <x v="0"/>
  </r>
  <r>
    <n v="3437"/>
    <s v="Ursula Monteiro"/>
    <x v="0"/>
    <x v="205"/>
    <s v="No"/>
    <n v="15"/>
    <x v="2"/>
    <x v="0"/>
    <n v="30"/>
    <x v="0"/>
    <n v="20"/>
    <n v="7"/>
    <n v="58"/>
    <d v="2024-12-01T00:00:00"/>
    <x v="9"/>
    <x v="8"/>
    <x v="1"/>
  </r>
  <r>
    <n v="3438"/>
    <s v="Vanessa Pereira"/>
    <x v="2"/>
    <x v="206"/>
    <s v="Yes"/>
    <n v="10"/>
    <x v="1"/>
    <x v="1"/>
    <s v="-"/>
    <x v="0"/>
    <n v="20"/>
    <n v="10"/>
    <n v="20"/>
    <d v="2025-09-01T00:00:00"/>
    <x v="8"/>
    <x v="8"/>
    <x v="0"/>
  </r>
  <r>
    <n v="3439"/>
    <s v="Walter Silva"/>
    <x v="1"/>
    <x v="207"/>
    <s v="No"/>
    <n v="5"/>
    <x v="2"/>
    <x v="1"/>
    <s v="-"/>
    <x v="1"/>
    <n v="0"/>
    <n v="1"/>
    <n v="4"/>
    <d v="2024-12-01T00:00:00"/>
    <x v="9"/>
    <x v="8"/>
    <x v="1"/>
  </r>
  <r>
    <n v="3440"/>
    <s v="Xavier Almeida"/>
    <x v="0"/>
    <x v="208"/>
    <s v="Yes"/>
    <n v="15"/>
    <x v="0"/>
    <x v="0"/>
    <n v="30"/>
    <x v="0"/>
    <n v="20"/>
    <n v="15"/>
    <n v="50"/>
    <d v="2024-10-01T00:00:00"/>
    <x v="0"/>
    <x v="8"/>
    <x v="0"/>
  </r>
  <r>
    <n v="3441"/>
    <s v="Yasmine Correia"/>
    <x v="2"/>
    <x v="209"/>
    <s v="No"/>
    <n v="10"/>
    <x v="0"/>
    <x v="1"/>
    <s v="-"/>
    <x v="0"/>
    <n v="20"/>
    <n v="5"/>
    <n v="25"/>
    <d v="2024-10-01T00:00:00"/>
    <x v="0"/>
    <x v="8"/>
    <x v="1"/>
  </r>
  <r>
    <n v="3442"/>
    <s v="Zacarias Almeida"/>
    <x v="1"/>
    <x v="210"/>
    <s v="Yes"/>
    <n v="5"/>
    <x v="1"/>
    <x v="1"/>
    <s v="-"/>
    <x v="1"/>
    <n v="0"/>
    <n v="0"/>
    <n v="5"/>
    <d v="2025-09-01T00:00:00"/>
    <x v="8"/>
    <x v="8"/>
    <x v="0"/>
  </r>
  <r>
    <n v="3443"/>
    <s v="Amanda Costa"/>
    <x v="0"/>
    <x v="211"/>
    <s v="No"/>
    <n v="15"/>
    <x v="2"/>
    <x v="0"/>
    <n v="30"/>
    <x v="0"/>
    <n v="20"/>
    <n v="20"/>
    <n v="45"/>
    <d v="2024-12-01T00:00:00"/>
    <x v="9"/>
    <x v="8"/>
    <x v="1"/>
  </r>
  <r>
    <n v="3444"/>
    <s v="Bruno Ferreira"/>
    <x v="2"/>
    <x v="212"/>
    <s v="Yes"/>
    <n v="10"/>
    <x v="2"/>
    <x v="1"/>
    <s v="-"/>
    <x v="0"/>
    <n v="20"/>
    <n v="12"/>
    <n v="18"/>
    <d v="2024-12-01T00:00:00"/>
    <x v="9"/>
    <x v="8"/>
    <x v="0"/>
  </r>
  <r>
    <n v="3445"/>
    <s v="Carla Dias"/>
    <x v="1"/>
    <x v="213"/>
    <s v="No"/>
    <n v="5"/>
    <x v="0"/>
    <x v="1"/>
    <s v="-"/>
    <x v="1"/>
    <n v="0"/>
    <n v="2"/>
    <n v="3"/>
    <d v="2024-10-01T00:00:00"/>
    <x v="0"/>
    <x v="8"/>
    <x v="1"/>
  </r>
  <r>
    <n v="3446"/>
    <s v="Diogo Martins"/>
    <x v="0"/>
    <x v="214"/>
    <s v="Yes"/>
    <n v="15"/>
    <x v="1"/>
    <x v="0"/>
    <n v="30"/>
    <x v="0"/>
    <n v="20"/>
    <n v="5"/>
    <n v="60"/>
    <d v="2025-09-01T00:00:00"/>
    <x v="8"/>
    <x v="8"/>
    <x v="0"/>
  </r>
  <r>
    <n v="3447"/>
    <s v="Elisa Campos"/>
    <x v="2"/>
    <x v="215"/>
    <s v="No"/>
    <n v="10"/>
    <x v="0"/>
    <x v="1"/>
    <s v="-"/>
    <x v="0"/>
    <n v="20"/>
    <n v="10"/>
    <n v="20"/>
    <d v="2024-10-01T00:00:00"/>
    <x v="0"/>
    <x v="8"/>
    <x v="1"/>
  </r>
  <r>
    <n v="3448"/>
    <s v="Fabiana Lima"/>
    <x v="1"/>
    <x v="216"/>
    <s v="Yes"/>
    <n v="5"/>
    <x v="2"/>
    <x v="1"/>
    <s v="-"/>
    <x v="1"/>
    <n v="0"/>
    <n v="0"/>
    <n v="5"/>
    <d v="2024-12-01T00:00:00"/>
    <x v="9"/>
    <x v="8"/>
    <x v="0"/>
  </r>
  <r>
    <n v="3449"/>
    <s v="Gabriel Santos"/>
    <x v="0"/>
    <x v="217"/>
    <s v="No"/>
    <n v="15"/>
    <x v="0"/>
    <x v="0"/>
    <n v="30"/>
    <x v="0"/>
    <n v="20"/>
    <n v="3"/>
    <n v="62"/>
    <d v="2024-11-01T00:00:00"/>
    <x v="0"/>
    <x v="9"/>
    <x v="1"/>
  </r>
  <r>
    <n v="3450"/>
    <s v="Helena Ferreira"/>
    <x v="2"/>
    <x v="218"/>
    <s v="Yes"/>
    <n v="10"/>
    <x v="1"/>
    <x v="1"/>
    <s v="-"/>
    <x v="0"/>
    <n v="20"/>
    <n v="15"/>
    <n v="15"/>
    <d v="2025-10-01T00:00:00"/>
    <x v="10"/>
    <x v="9"/>
    <x v="0"/>
  </r>
  <r>
    <n v="3451"/>
    <s v="Ígor Nunes"/>
    <x v="1"/>
    <x v="219"/>
    <s v="No"/>
    <n v="5"/>
    <x v="0"/>
    <x v="1"/>
    <s v="-"/>
    <x v="1"/>
    <n v="0"/>
    <n v="1"/>
    <n v="4"/>
    <d v="2024-11-01T00:00:00"/>
    <x v="0"/>
    <x v="9"/>
    <x v="1"/>
  </r>
  <r>
    <n v="3452"/>
    <s v="Joana Silveira"/>
    <x v="0"/>
    <x v="220"/>
    <s v="Yes"/>
    <n v="15"/>
    <x v="2"/>
    <x v="0"/>
    <n v="30"/>
    <x v="0"/>
    <n v="20"/>
    <n v="7"/>
    <n v="58"/>
    <d v="2025-01-01T00:00:00"/>
    <x v="1"/>
    <x v="9"/>
    <x v="0"/>
  </r>
  <r>
    <n v="3453"/>
    <s v="Kléber Oliveira"/>
    <x v="2"/>
    <x v="221"/>
    <s v="No"/>
    <n v="10"/>
    <x v="0"/>
    <x v="1"/>
    <s v="-"/>
    <x v="0"/>
    <n v="20"/>
    <n v="10"/>
    <n v="20"/>
    <d v="2024-11-01T00:00:00"/>
    <x v="0"/>
    <x v="9"/>
    <x v="1"/>
  </r>
  <r>
    <n v="3454"/>
    <s v="Luciana Morais"/>
    <x v="1"/>
    <x v="222"/>
    <s v="Yes"/>
    <n v="5"/>
    <x v="1"/>
    <x v="1"/>
    <s v="-"/>
    <x v="1"/>
    <n v="0"/>
    <n v="0"/>
    <n v="5"/>
    <d v="2025-10-01T00:00:00"/>
    <x v="10"/>
    <x v="9"/>
    <x v="0"/>
  </r>
  <r>
    <n v="3455"/>
    <s v="Marcos Vinícius"/>
    <x v="0"/>
    <x v="223"/>
    <s v="No"/>
    <n v="15"/>
    <x v="0"/>
    <x v="0"/>
    <n v="30"/>
    <x v="0"/>
    <n v="20"/>
    <n v="20"/>
    <n v="45"/>
    <d v="2024-11-01T00:00:00"/>
    <x v="0"/>
    <x v="9"/>
    <x v="1"/>
  </r>
  <r>
    <n v="3456"/>
    <s v="Natália Barros"/>
    <x v="2"/>
    <x v="224"/>
    <s v="Yes"/>
    <n v="10"/>
    <x v="2"/>
    <x v="1"/>
    <s v="-"/>
    <x v="0"/>
    <n v="20"/>
    <n v="15"/>
    <n v="15"/>
    <d v="2025-01-01T00:00:00"/>
    <x v="1"/>
    <x v="9"/>
    <x v="0"/>
  </r>
  <r>
    <n v="3457"/>
    <s v="Oscar Sampaio"/>
    <x v="1"/>
    <x v="225"/>
    <s v="No"/>
    <n v="5"/>
    <x v="0"/>
    <x v="1"/>
    <s v="-"/>
    <x v="1"/>
    <n v="0"/>
    <n v="1"/>
    <n v="4"/>
    <d v="2024-11-01T00:00:00"/>
    <x v="0"/>
    <x v="9"/>
    <x v="1"/>
  </r>
  <r>
    <n v="3458"/>
    <s v="Patrícia Leite"/>
    <x v="0"/>
    <x v="226"/>
    <s v="Yes"/>
    <n v="15"/>
    <x v="1"/>
    <x v="0"/>
    <n v="30"/>
    <x v="0"/>
    <n v="20"/>
    <n v="3"/>
    <n v="62"/>
    <d v="2025-10-01T00:00:00"/>
    <x v="10"/>
    <x v="9"/>
    <x v="0"/>
  </r>
  <r>
    <n v="3459"/>
    <s v="Quênia Rocha"/>
    <x v="2"/>
    <x v="227"/>
    <s v="No"/>
    <n v="10"/>
    <x v="0"/>
    <x v="1"/>
    <s v="-"/>
    <x v="0"/>
    <n v="20"/>
    <n v="10"/>
    <n v="20"/>
    <d v="2024-11-01T00:00:00"/>
    <x v="0"/>
    <x v="9"/>
    <x v="1"/>
  </r>
  <r>
    <n v="3460"/>
    <s v="Rafael Torres"/>
    <x v="1"/>
    <x v="228"/>
    <s v="Yes"/>
    <n v="5"/>
    <x v="2"/>
    <x v="1"/>
    <s v="-"/>
    <x v="1"/>
    <n v="0"/>
    <n v="0"/>
    <n v="5"/>
    <d v="2025-01-01T00:00:00"/>
    <x v="1"/>
    <x v="9"/>
    <x v="0"/>
  </r>
  <r>
    <n v="3461"/>
    <s v="Sandra Gouveia"/>
    <x v="0"/>
    <x v="229"/>
    <s v="No"/>
    <n v="15"/>
    <x v="0"/>
    <x v="0"/>
    <n v="30"/>
    <x v="0"/>
    <n v="20"/>
    <n v="15"/>
    <n v="50"/>
    <d v="2024-11-01T00:00:00"/>
    <x v="0"/>
    <x v="9"/>
    <x v="1"/>
  </r>
  <r>
    <n v="3462"/>
    <s v="Tiago Lacerda"/>
    <x v="2"/>
    <x v="230"/>
    <s v="Yes"/>
    <n v="10"/>
    <x v="1"/>
    <x v="1"/>
    <s v="-"/>
    <x v="0"/>
    <n v="20"/>
    <n v="15"/>
    <n v="15"/>
    <d v="2025-10-01T00:00:00"/>
    <x v="10"/>
    <x v="9"/>
    <x v="0"/>
  </r>
  <r>
    <n v="3463"/>
    <s v="Ursula Fonseca"/>
    <x v="1"/>
    <x v="231"/>
    <s v="No"/>
    <n v="5"/>
    <x v="0"/>
    <x v="1"/>
    <s v="-"/>
    <x v="1"/>
    <n v="0"/>
    <n v="1"/>
    <n v="4"/>
    <d v="2024-11-01T00:00:00"/>
    <x v="0"/>
    <x v="9"/>
    <x v="1"/>
  </r>
  <r>
    <n v="3464"/>
    <s v="Vanessa Andrade"/>
    <x v="0"/>
    <x v="232"/>
    <s v="Yes"/>
    <n v="15"/>
    <x v="2"/>
    <x v="0"/>
    <n v="30"/>
    <x v="0"/>
    <n v="20"/>
    <n v="7"/>
    <n v="58"/>
    <d v="2025-01-01T00:00:00"/>
    <x v="1"/>
    <x v="9"/>
    <x v="0"/>
  </r>
  <r>
    <n v="3465"/>
    <s v="William Castro"/>
    <x v="2"/>
    <x v="233"/>
    <s v="No"/>
    <n v="10"/>
    <x v="0"/>
    <x v="1"/>
    <s v="-"/>
    <x v="0"/>
    <n v="20"/>
    <n v="10"/>
    <n v="20"/>
    <d v="2024-11-01T00:00:00"/>
    <x v="0"/>
    <x v="9"/>
    <x v="1"/>
  </r>
  <r>
    <n v="3466"/>
    <s v="Xavier Monteiro"/>
    <x v="1"/>
    <x v="234"/>
    <s v="Yes"/>
    <n v="5"/>
    <x v="1"/>
    <x v="1"/>
    <s v="-"/>
    <x v="1"/>
    <n v="0"/>
    <n v="0"/>
    <n v="5"/>
    <d v="2025-10-01T00:00:00"/>
    <x v="10"/>
    <x v="9"/>
    <x v="0"/>
  </r>
  <r>
    <n v="3467"/>
    <s v="Yasmin Figueira"/>
    <x v="0"/>
    <x v="235"/>
    <s v="No"/>
    <n v="15"/>
    <x v="0"/>
    <x v="0"/>
    <n v="30"/>
    <x v="0"/>
    <n v="20"/>
    <n v="15"/>
    <n v="50"/>
    <d v="2024-11-01T00:00:00"/>
    <x v="0"/>
    <x v="9"/>
    <x v="1"/>
  </r>
  <r>
    <n v="3468"/>
    <s v="Zacarias Mendonça"/>
    <x v="2"/>
    <x v="236"/>
    <s v="Yes"/>
    <n v="10"/>
    <x v="2"/>
    <x v="1"/>
    <s v="-"/>
    <x v="0"/>
    <n v="20"/>
    <n v="12"/>
    <n v="18"/>
    <d v="2025-01-01T00:00:00"/>
    <x v="1"/>
    <x v="9"/>
    <x v="0"/>
  </r>
  <r>
    <n v="3469"/>
    <s v="Amanda Menezes"/>
    <x v="1"/>
    <x v="237"/>
    <s v="No"/>
    <n v="5"/>
    <x v="0"/>
    <x v="1"/>
    <s v="-"/>
    <x v="1"/>
    <n v="0"/>
    <n v="2"/>
    <n v="3"/>
    <d v="2024-11-01T00:00:00"/>
    <x v="0"/>
    <x v="9"/>
    <x v="1"/>
  </r>
  <r>
    <n v="3470"/>
    <s v="Bruno Santos"/>
    <x v="0"/>
    <x v="238"/>
    <s v="Yes"/>
    <n v="15"/>
    <x v="1"/>
    <x v="0"/>
    <n v="30"/>
    <x v="0"/>
    <n v="20"/>
    <n v="5"/>
    <n v="60"/>
    <d v="2025-10-01T00:00:00"/>
    <x v="10"/>
    <x v="9"/>
    <x v="0"/>
  </r>
  <r>
    <n v="3471"/>
    <s v="Carla Ferreira"/>
    <x v="2"/>
    <x v="239"/>
    <s v="No"/>
    <n v="10"/>
    <x v="0"/>
    <x v="1"/>
    <s v="-"/>
    <x v="0"/>
    <n v="20"/>
    <n v="10"/>
    <n v="20"/>
    <d v="2024-11-01T00:00:00"/>
    <x v="0"/>
    <x v="9"/>
    <x v="1"/>
  </r>
  <r>
    <n v="3472"/>
    <s v="Diogo Alves"/>
    <x v="1"/>
    <x v="240"/>
    <s v="Yes"/>
    <n v="5"/>
    <x v="2"/>
    <x v="1"/>
    <s v="-"/>
    <x v="1"/>
    <n v="0"/>
    <n v="0"/>
    <n v="5"/>
    <d v="2025-01-01T00:00:00"/>
    <x v="1"/>
    <x v="9"/>
    <x v="0"/>
  </r>
  <r>
    <n v="3473"/>
    <s v="Elisa Neves"/>
    <x v="0"/>
    <x v="241"/>
    <s v="No"/>
    <n v="15"/>
    <x v="0"/>
    <x v="0"/>
    <n v="30"/>
    <x v="0"/>
    <n v="20"/>
    <n v="3"/>
    <n v="62"/>
    <d v="2024-11-01T00:00:00"/>
    <x v="0"/>
    <x v="9"/>
    <x v="1"/>
  </r>
  <r>
    <n v="3474"/>
    <s v="Fabiano Pires"/>
    <x v="2"/>
    <x v="242"/>
    <s v="Yes"/>
    <n v="10"/>
    <x v="1"/>
    <x v="1"/>
    <s v="-"/>
    <x v="0"/>
    <n v="20"/>
    <n v="15"/>
    <n v="15"/>
    <d v="2025-10-01T00:00:00"/>
    <x v="10"/>
    <x v="9"/>
    <x v="0"/>
  </r>
  <r>
    <n v="3475"/>
    <s v="Giovana Ribeiro"/>
    <x v="1"/>
    <x v="243"/>
    <s v="No"/>
    <n v="5"/>
    <x v="0"/>
    <x v="1"/>
    <s v="-"/>
    <x v="1"/>
    <n v="0"/>
    <n v="1"/>
    <n v="4"/>
    <d v="2024-11-01T00:00:00"/>
    <x v="0"/>
    <x v="9"/>
    <x v="1"/>
  </r>
  <r>
    <n v="3476"/>
    <s v="Hélio Costa"/>
    <x v="0"/>
    <x v="244"/>
    <s v="Yes"/>
    <n v="15"/>
    <x v="2"/>
    <x v="0"/>
    <n v="30"/>
    <x v="0"/>
    <n v="20"/>
    <n v="7"/>
    <n v="58"/>
    <d v="2025-01-01T00:00:00"/>
    <x v="1"/>
    <x v="9"/>
    <x v="0"/>
  </r>
  <r>
    <n v="3477"/>
    <s v="Íris Loureiro"/>
    <x v="2"/>
    <x v="245"/>
    <s v="No"/>
    <n v="10"/>
    <x v="0"/>
    <x v="1"/>
    <s v="-"/>
    <x v="0"/>
    <n v="20"/>
    <n v="10"/>
    <n v="20"/>
    <d v="2024-11-01T00:00:00"/>
    <x v="0"/>
    <x v="9"/>
    <x v="1"/>
  </r>
  <r>
    <n v="3478"/>
    <s v="João Pereira"/>
    <x v="1"/>
    <x v="246"/>
    <s v="Yes"/>
    <n v="5"/>
    <x v="1"/>
    <x v="1"/>
    <s v="-"/>
    <x v="1"/>
    <n v="0"/>
    <n v="0"/>
    <n v="5"/>
    <d v="2025-10-01T00:00:00"/>
    <x v="10"/>
    <x v="9"/>
    <x v="0"/>
  </r>
  <r>
    <n v="3479"/>
    <s v="Klara Silva"/>
    <x v="0"/>
    <x v="247"/>
    <s v="No"/>
    <n v="15"/>
    <x v="0"/>
    <x v="0"/>
    <n v="30"/>
    <x v="0"/>
    <n v="20"/>
    <n v="20"/>
    <n v="45"/>
    <d v="2024-11-01T00:00:00"/>
    <x v="0"/>
    <x v="9"/>
    <x v="1"/>
  </r>
  <r>
    <n v="3480"/>
    <s v="Luciana Barros"/>
    <x v="2"/>
    <x v="248"/>
    <s v="Yes"/>
    <n v="10"/>
    <x v="2"/>
    <x v="1"/>
    <s v="-"/>
    <x v="0"/>
    <n v="20"/>
    <n v="15"/>
    <n v="15"/>
    <d v="2025-02-01T00:00:00"/>
    <x v="11"/>
    <x v="10"/>
    <x v="0"/>
  </r>
  <r>
    <n v="3481"/>
    <s v="Marcos Gomes"/>
    <x v="1"/>
    <x v="249"/>
    <s v="No"/>
    <n v="5"/>
    <x v="0"/>
    <x v="1"/>
    <s v="-"/>
    <x v="1"/>
    <n v="0"/>
    <n v="1"/>
    <n v="4"/>
    <d v="2024-12-01T00:00:00"/>
    <x v="9"/>
    <x v="10"/>
    <x v="1"/>
  </r>
  <r>
    <n v="3482"/>
    <s v="Natália Soares"/>
    <x v="0"/>
    <x v="250"/>
    <s v="Yes"/>
    <n v="15"/>
    <x v="1"/>
    <x v="0"/>
    <n v="30"/>
    <x v="0"/>
    <n v="20"/>
    <n v="3"/>
    <n v="62"/>
    <d v="2025-11-01T00:00:00"/>
    <x v="12"/>
    <x v="10"/>
    <x v="0"/>
  </r>
  <r>
    <n v="3483"/>
    <s v="Oscar Machado"/>
    <x v="2"/>
    <x v="251"/>
    <s v="No"/>
    <n v="10"/>
    <x v="0"/>
    <x v="1"/>
    <s v="-"/>
    <x v="0"/>
    <n v="20"/>
    <n v="10"/>
    <n v="20"/>
    <d v="2024-12-01T00:00:00"/>
    <x v="9"/>
    <x v="10"/>
    <x v="1"/>
  </r>
  <r>
    <n v="3484"/>
    <s v="Patrícia Lima"/>
    <x v="1"/>
    <x v="252"/>
    <s v="Yes"/>
    <n v="5"/>
    <x v="2"/>
    <x v="1"/>
    <s v="-"/>
    <x v="1"/>
    <n v="0"/>
    <n v="0"/>
    <n v="5"/>
    <d v="2025-02-01T00:00:00"/>
    <x v="11"/>
    <x v="10"/>
    <x v="0"/>
  </r>
  <r>
    <n v="3485"/>
    <s v="Quirino Neto"/>
    <x v="0"/>
    <x v="253"/>
    <s v="No"/>
    <n v="15"/>
    <x v="0"/>
    <x v="0"/>
    <n v="30"/>
    <x v="0"/>
    <n v="20"/>
    <n v="15"/>
    <n v="50"/>
    <d v="2024-12-01T00:00:00"/>
    <x v="9"/>
    <x v="10"/>
    <x v="1"/>
  </r>
  <r>
    <n v="3486"/>
    <s v="Rafaela Souza"/>
    <x v="1"/>
    <x v="254"/>
    <s v="Yes"/>
    <n v="5"/>
    <x v="0"/>
    <x v="1"/>
    <s v="-"/>
    <x v="1"/>
    <n v="0"/>
    <n v="0"/>
    <n v="5"/>
    <d v="2024-12-01T00:00:00"/>
    <x v="9"/>
    <x v="10"/>
    <x v="0"/>
  </r>
  <r>
    <n v="3487"/>
    <s v="Sandro Almeida"/>
    <x v="0"/>
    <x v="255"/>
    <s v="No"/>
    <n v="15"/>
    <x v="2"/>
    <x v="0"/>
    <n v="30"/>
    <x v="0"/>
    <n v="20"/>
    <n v="7"/>
    <n v="58"/>
    <d v="2025-02-01T00:00:00"/>
    <x v="11"/>
    <x v="10"/>
    <x v="1"/>
  </r>
  <r>
    <n v="3488"/>
    <s v="Tânia Ribeiro"/>
    <x v="2"/>
    <x v="256"/>
    <s v="Yes"/>
    <n v="10"/>
    <x v="1"/>
    <x v="1"/>
    <s v="-"/>
    <x v="0"/>
    <n v="20"/>
    <n v="10"/>
    <n v="20"/>
    <d v="2025-11-01T00:00:00"/>
    <x v="12"/>
    <x v="10"/>
    <x v="0"/>
  </r>
  <r>
    <n v="3489"/>
    <s v="Ugo Dias"/>
    <x v="1"/>
    <x v="257"/>
    <s v="No"/>
    <n v="5"/>
    <x v="2"/>
    <x v="1"/>
    <s v="-"/>
    <x v="1"/>
    <n v="0"/>
    <n v="1"/>
    <n v="4"/>
    <d v="2025-02-01T00:00:00"/>
    <x v="11"/>
    <x v="10"/>
    <x v="1"/>
  </r>
  <r>
    <n v="3490"/>
    <s v="Valéria Lima"/>
    <x v="0"/>
    <x v="258"/>
    <s v="Yes"/>
    <n v="15"/>
    <x v="0"/>
    <x v="0"/>
    <n v="30"/>
    <x v="0"/>
    <n v="20"/>
    <n v="15"/>
    <n v="50"/>
    <d v="2024-12-01T00:00:00"/>
    <x v="9"/>
    <x v="10"/>
    <x v="0"/>
  </r>
  <r>
    <n v="3491"/>
    <s v="William Fernandes"/>
    <x v="2"/>
    <x v="259"/>
    <s v="No"/>
    <n v="10"/>
    <x v="0"/>
    <x v="1"/>
    <s v="-"/>
    <x v="0"/>
    <n v="20"/>
    <n v="5"/>
    <n v="25"/>
    <d v="2024-12-01T00:00:00"/>
    <x v="9"/>
    <x v="10"/>
    <x v="1"/>
  </r>
  <r>
    <n v="3492"/>
    <s v="Xuxa Mendes"/>
    <x v="1"/>
    <x v="260"/>
    <s v="Yes"/>
    <n v="5"/>
    <x v="1"/>
    <x v="1"/>
    <s v="-"/>
    <x v="1"/>
    <n v="0"/>
    <n v="0"/>
    <n v="5"/>
    <d v="2025-11-01T00:00:00"/>
    <x v="12"/>
    <x v="10"/>
    <x v="0"/>
  </r>
  <r>
    <n v="3493"/>
    <s v="Ygor Farias"/>
    <x v="0"/>
    <x v="261"/>
    <s v="No"/>
    <n v="15"/>
    <x v="2"/>
    <x v="0"/>
    <n v="30"/>
    <x v="0"/>
    <n v="20"/>
    <n v="20"/>
    <n v="45"/>
    <d v="2025-02-01T00:00:00"/>
    <x v="11"/>
    <x v="10"/>
    <x v="1"/>
  </r>
  <r>
    <n v="3494"/>
    <s v="Zilda Barros"/>
    <x v="2"/>
    <x v="262"/>
    <s v="Yes"/>
    <n v="10"/>
    <x v="2"/>
    <x v="1"/>
    <s v="-"/>
    <x v="0"/>
    <n v="20"/>
    <n v="12"/>
    <n v="18"/>
    <d v="2025-02-01T00:00:00"/>
    <x v="11"/>
    <x v="10"/>
    <x v="0"/>
  </r>
  <r>
    <n v="3495"/>
    <s v="Amanda Santos"/>
    <x v="1"/>
    <x v="263"/>
    <s v="No"/>
    <n v="5"/>
    <x v="0"/>
    <x v="1"/>
    <s v="-"/>
    <x v="1"/>
    <n v="0"/>
    <n v="2"/>
    <n v="3"/>
    <d v="2024-12-01T00:00:00"/>
    <x v="9"/>
    <x v="10"/>
    <x v="1"/>
  </r>
  <r>
    <n v="3496"/>
    <s v="Bruno Costa"/>
    <x v="0"/>
    <x v="264"/>
    <s v="Yes"/>
    <n v="15"/>
    <x v="1"/>
    <x v="0"/>
    <n v="30"/>
    <x v="0"/>
    <n v="20"/>
    <n v="5"/>
    <n v="60"/>
    <d v="2025-11-01T00:00:00"/>
    <x v="12"/>
    <x v="10"/>
    <x v="0"/>
  </r>
  <r>
    <n v="3497"/>
    <s v="Carla Rodrigues"/>
    <x v="2"/>
    <x v="265"/>
    <s v="No"/>
    <n v="10"/>
    <x v="0"/>
    <x v="1"/>
    <s v="-"/>
    <x v="0"/>
    <n v="20"/>
    <n v="10"/>
    <n v="20"/>
    <d v="2024-12-01T00:00:00"/>
    <x v="9"/>
    <x v="10"/>
    <x v="1"/>
  </r>
  <r>
    <n v="3498"/>
    <s v="Diogo Pereira"/>
    <x v="1"/>
    <x v="266"/>
    <s v="Yes"/>
    <n v="5"/>
    <x v="2"/>
    <x v="1"/>
    <s v="-"/>
    <x v="1"/>
    <n v="0"/>
    <n v="0"/>
    <n v="5"/>
    <d v="2025-02-01T00:00:00"/>
    <x v="11"/>
    <x v="10"/>
    <x v="0"/>
  </r>
  <r>
    <n v="3499"/>
    <s v="Elisa Correia"/>
    <x v="0"/>
    <x v="267"/>
    <s v="No"/>
    <n v="15"/>
    <x v="0"/>
    <x v="0"/>
    <n v="30"/>
    <x v="0"/>
    <n v="20"/>
    <n v="3"/>
    <n v="62"/>
    <d v="2024-12-01T00:00:00"/>
    <x v="9"/>
    <x v="10"/>
    <x v="1"/>
  </r>
  <r>
    <n v="3500"/>
    <s v="Fábio Lourenço"/>
    <x v="2"/>
    <x v="268"/>
    <s v="Yes"/>
    <n v="10"/>
    <x v="1"/>
    <x v="1"/>
    <s v="-"/>
    <x v="0"/>
    <n v="20"/>
    <n v="15"/>
    <n v="15"/>
    <d v="2025-11-01T00:00:00"/>
    <x v="12"/>
    <x v="10"/>
    <x v="0"/>
  </r>
  <r>
    <n v="3501"/>
    <s v="Gabriela Neves"/>
    <x v="1"/>
    <x v="269"/>
    <s v="No"/>
    <n v="5"/>
    <x v="0"/>
    <x v="1"/>
    <s v="-"/>
    <x v="1"/>
    <n v="0"/>
    <n v="1"/>
    <n v="4"/>
    <d v="2024-12-01T00:00:00"/>
    <x v="9"/>
    <x v="10"/>
    <x v="1"/>
  </r>
  <r>
    <n v="3502"/>
    <s v="Henrique Gonçalves"/>
    <x v="0"/>
    <x v="270"/>
    <s v="Yes"/>
    <n v="15"/>
    <x v="2"/>
    <x v="0"/>
    <n v="30"/>
    <x v="0"/>
    <n v="20"/>
    <n v="7"/>
    <n v="58"/>
    <d v="2025-02-01T00:00:00"/>
    <x v="11"/>
    <x v="10"/>
    <x v="0"/>
  </r>
  <r>
    <n v="3503"/>
    <s v="Íris Santos"/>
    <x v="2"/>
    <x v="271"/>
    <s v="No"/>
    <n v="10"/>
    <x v="0"/>
    <x v="1"/>
    <s v="-"/>
    <x v="0"/>
    <n v="20"/>
    <n v="10"/>
    <n v="20"/>
    <d v="2024-12-01T00:00:00"/>
    <x v="9"/>
    <x v="10"/>
    <x v="1"/>
  </r>
  <r>
    <n v="3504"/>
    <s v="João Marcelo Alves"/>
    <x v="1"/>
    <x v="272"/>
    <s v="Yes"/>
    <n v="5"/>
    <x v="1"/>
    <x v="1"/>
    <s v="-"/>
    <x v="1"/>
    <n v="0"/>
    <n v="0"/>
    <n v="5"/>
    <d v="2025-11-01T00:00:00"/>
    <x v="12"/>
    <x v="10"/>
    <x v="0"/>
  </r>
  <r>
    <n v="3505"/>
    <s v="Klara Fonseca"/>
    <x v="0"/>
    <x v="273"/>
    <s v="No"/>
    <n v="15"/>
    <x v="0"/>
    <x v="0"/>
    <n v="30"/>
    <x v="0"/>
    <n v="20"/>
    <n v="20"/>
    <n v="45"/>
    <d v="2024-12-01T00:00:00"/>
    <x v="9"/>
    <x v="10"/>
    <x v="1"/>
  </r>
  <r>
    <n v="3506"/>
    <s v="Lucas Mendonça"/>
    <x v="2"/>
    <x v="274"/>
    <s v="Yes"/>
    <n v="10"/>
    <x v="2"/>
    <x v="1"/>
    <s v="-"/>
    <x v="0"/>
    <n v="20"/>
    <n v="15"/>
    <n v="15"/>
    <d v="2025-02-01T00:00:00"/>
    <x v="11"/>
    <x v="10"/>
    <x v="0"/>
  </r>
  <r>
    <n v="3507"/>
    <s v="Marcela Torres"/>
    <x v="1"/>
    <x v="275"/>
    <s v="No"/>
    <n v="5"/>
    <x v="0"/>
    <x v="1"/>
    <s v="-"/>
    <x v="1"/>
    <n v="0"/>
    <n v="1"/>
    <n v="4"/>
    <d v="2024-12-01T00:00:00"/>
    <x v="9"/>
    <x v="10"/>
    <x v="1"/>
  </r>
  <r>
    <n v="3508"/>
    <s v="Natália Castro"/>
    <x v="0"/>
    <x v="276"/>
    <s v="Yes"/>
    <n v="15"/>
    <x v="1"/>
    <x v="0"/>
    <n v="30"/>
    <x v="0"/>
    <n v="20"/>
    <n v="3"/>
    <n v="62"/>
    <d v="2025-11-01T00:00:00"/>
    <x v="12"/>
    <x v="10"/>
    <x v="0"/>
  </r>
  <r>
    <n v="3509"/>
    <s v="Oscar Martins"/>
    <x v="2"/>
    <x v="277"/>
    <s v="No"/>
    <n v="10"/>
    <x v="0"/>
    <x v="1"/>
    <s v="-"/>
    <x v="0"/>
    <n v="20"/>
    <n v="10"/>
    <n v="20"/>
    <d v="2024-12-01T00:00:00"/>
    <x v="9"/>
    <x v="10"/>
    <x v="1"/>
  </r>
  <r>
    <n v="3510"/>
    <s v="Patrícia Oliveira"/>
    <x v="1"/>
    <x v="278"/>
    <s v="Yes"/>
    <n v="5"/>
    <x v="2"/>
    <x v="1"/>
    <s v="-"/>
    <x v="1"/>
    <n v="0"/>
    <n v="0"/>
    <n v="5"/>
    <d v="2025-03-01T00:00:00"/>
    <x v="2"/>
    <x v="11"/>
    <x v="0"/>
  </r>
  <r>
    <n v="3511"/>
    <s v="Quentin Nogueira"/>
    <x v="0"/>
    <x v="279"/>
    <s v="No"/>
    <n v="15"/>
    <x v="0"/>
    <x v="0"/>
    <n v="30"/>
    <x v="0"/>
    <n v="20"/>
    <n v="15"/>
    <n v="50"/>
    <d v="2025-01-01T00:00:00"/>
    <x v="1"/>
    <x v="11"/>
    <x v="1"/>
  </r>
  <r>
    <n v="3512"/>
    <s v="Raquel Silva"/>
    <x v="2"/>
    <x v="280"/>
    <s v="Yes"/>
    <n v="10"/>
    <x v="1"/>
    <x v="1"/>
    <s v="-"/>
    <x v="0"/>
    <n v="20"/>
    <n v="15"/>
    <n v="15"/>
    <d v="2025-12-01T00:00:00"/>
    <x v="13"/>
    <x v="11"/>
    <x v="0"/>
  </r>
  <r>
    <n v="3513"/>
    <s v="Sandro Gomes"/>
    <x v="1"/>
    <x v="281"/>
    <s v="No"/>
    <n v="5"/>
    <x v="0"/>
    <x v="1"/>
    <s v="-"/>
    <x v="1"/>
    <n v="0"/>
    <n v="1"/>
    <n v="4"/>
    <d v="2025-01-01T00:00:00"/>
    <x v="1"/>
    <x v="11"/>
    <x v="1"/>
  </r>
  <r>
    <n v="3514"/>
    <s v="Tânia Machado"/>
    <x v="0"/>
    <x v="282"/>
    <s v="Yes"/>
    <n v="15"/>
    <x v="2"/>
    <x v="0"/>
    <n v="30"/>
    <x v="0"/>
    <n v="20"/>
    <n v="7"/>
    <n v="58"/>
    <d v="2025-03-01T00:00:00"/>
    <x v="2"/>
    <x v="11"/>
    <x v="0"/>
  </r>
  <r>
    <n v="3515"/>
    <s v="Ursula Silva"/>
    <x v="2"/>
    <x v="283"/>
    <s v="No"/>
    <n v="10"/>
    <x v="0"/>
    <x v="1"/>
    <s v="-"/>
    <x v="0"/>
    <n v="20"/>
    <n v="10"/>
    <n v="20"/>
    <d v="2025-01-01T00:00:00"/>
    <x v="1"/>
    <x v="11"/>
    <x v="1"/>
  </r>
  <r>
    <n v="3516"/>
    <s v="Vanessa Moraes"/>
    <x v="1"/>
    <x v="284"/>
    <s v="Yes"/>
    <n v="5"/>
    <x v="1"/>
    <x v="1"/>
    <s v="-"/>
    <x v="1"/>
    <n v="0"/>
    <n v="0"/>
    <n v="5"/>
    <d v="2025-12-01T00:00:00"/>
    <x v="13"/>
    <x v="11"/>
    <x v="0"/>
  </r>
  <r>
    <n v="3517"/>
    <s v="William Carvalho"/>
    <x v="0"/>
    <x v="285"/>
    <s v="No"/>
    <n v="15"/>
    <x v="0"/>
    <x v="0"/>
    <n v="30"/>
    <x v="0"/>
    <n v="20"/>
    <n v="20"/>
    <n v="45"/>
    <d v="2025-01-01T00:00:00"/>
    <x v="1"/>
    <x v="11"/>
    <x v="1"/>
  </r>
  <r>
    <n v="3518"/>
    <s v="Xavier Reis"/>
    <x v="2"/>
    <x v="286"/>
    <s v="Yes"/>
    <n v="10"/>
    <x v="2"/>
    <x v="1"/>
    <s v="-"/>
    <x v="0"/>
    <n v="20"/>
    <n v="12"/>
    <n v="18"/>
    <d v="2025-03-01T00:00:00"/>
    <x v="2"/>
    <x v="11"/>
    <x v="0"/>
  </r>
  <r>
    <n v="3519"/>
    <s v="Yasmin Rocha"/>
    <x v="1"/>
    <x v="287"/>
    <s v="No"/>
    <n v="5"/>
    <x v="0"/>
    <x v="1"/>
    <s v="-"/>
    <x v="1"/>
    <n v="0"/>
    <n v="2"/>
    <n v="3"/>
    <d v="2025-01-01T00:00:00"/>
    <x v="1"/>
    <x v="11"/>
    <x v="1"/>
  </r>
  <r>
    <n v="3520"/>
    <s v="Zacarias Duarte"/>
    <x v="0"/>
    <x v="288"/>
    <s v="Yes"/>
    <n v="15"/>
    <x v="1"/>
    <x v="0"/>
    <n v="30"/>
    <x v="0"/>
    <n v="20"/>
    <n v="5"/>
    <n v="60"/>
    <d v="2025-12-01T00:00:00"/>
    <x v="13"/>
    <x v="11"/>
    <x v="0"/>
  </r>
  <r>
    <n v="3521"/>
    <s v="Amanda Freitas"/>
    <x v="2"/>
    <x v="289"/>
    <s v="No"/>
    <n v="10"/>
    <x v="0"/>
    <x v="1"/>
    <s v="-"/>
    <x v="0"/>
    <n v="20"/>
    <n v="10"/>
    <n v="20"/>
    <d v="2025-01-01T00:00:00"/>
    <x v="1"/>
    <x v="11"/>
    <x v="1"/>
  </r>
  <r>
    <n v="3522"/>
    <s v="Bruno Almeida"/>
    <x v="1"/>
    <x v="290"/>
    <s v="Yes"/>
    <n v="5"/>
    <x v="2"/>
    <x v="1"/>
    <s v="-"/>
    <x v="1"/>
    <n v="0"/>
    <n v="0"/>
    <n v="5"/>
    <d v="2025-03-01T00:00:00"/>
    <x v="2"/>
    <x v="11"/>
    <x v="0"/>
  </r>
  <r>
    <n v="3523"/>
    <s v="Carla Siqueira"/>
    <x v="0"/>
    <x v="291"/>
    <s v="No"/>
    <n v="15"/>
    <x v="0"/>
    <x v="0"/>
    <n v="30"/>
    <x v="0"/>
    <n v="20"/>
    <n v="3"/>
    <n v="62"/>
    <d v="2025-01-01T00:00:00"/>
    <x v="1"/>
    <x v="11"/>
    <x v="1"/>
  </r>
  <r>
    <n v="3524"/>
    <s v="Diogo Ramos"/>
    <x v="2"/>
    <x v="292"/>
    <s v="Yes"/>
    <n v="10"/>
    <x v="1"/>
    <x v="1"/>
    <s v="-"/>
    <x v="0"/>
    <n v="20"/>
    <n v="15"/>
    <n v="15"/>
    <d v="2025-12-01T00:00:00"/>
    <x v="13"/>
    <x v="11"/>
    <x v="0"/>
  </r>
  <r>
    <n v="3525"/>
    <s v="Elisa Magalhães"/>
    <x v="1"/>
    <x v="293"/>
    <s v="No"/>
    <n v="5"/>
    <x v="0"/>
    <x v="1"/>
    <s v="-"/>
    <x v="1"/>
    <n v="0"/>
    <n v="1"/>
    <n v="4"/>
    <d v="2025-01-01T00:00:00"/>
    <x v="1"/>
    <x v="1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4AC58-C569-425D-833C-8538D6896757}" name="Tbd_SubscrPric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colHeaderCaption="R.A.">
  <location ref="B9:C13" firstHeaderRow="1" firstDataRow="1" firstDataCol="1"/>
  <pivotFields count="21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dataField="1"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numFmtId="164" showAll="0"/>
    <pivotField numFmtId="14" showAll="0"/>
    <pivotField numFmtId="14" showAll="0">
      <items count="297">
        <item x="0"/>
        <item m="1" x="12"/>
        <item m="1" x="13"/>
        <item m="1" x="14"/>
        <item m="1" x="16"/>
        <item m="1" x="17"/>
        <item m="1" x="18"/>
        <item m="1" x="15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3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x="4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x="5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x="6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x="7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x="8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x="9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x="10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x="11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Subscription Price" fld="5" baseField="0" baseItem="0" numFmtId="44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69B55-0602-41D5-A8D4-4D5C15F46CBD}" name="Tbd_EAPric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colHeaderCaption="R.A.">
  <location ref="O9:P12" firstHeaderRow="1" firstDataRow="1" firstDataCol="1"/>
  <pivotFields count="21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  <pivotField numFmtId="164" showAll="0"/>
    <pivotField numFmtId="14" showAll="0"/>
    <pivotField numFmtId="14" showAll="0">
      <items count="297">
        <item x="0"/>
        <item m="1" x="12"/>
        <item m="1" x="13"/>
        <item m="1" x="14"/>
        <item m="1" x="16"/>
        <item m="1" x="17"/>
        <item m="1" x="18"/>
        <item m="1" x="15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3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x="4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x="5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x="6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x="7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x="8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x="9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x="10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x="11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oma de EA Play Season Pass" fld="8" baseField="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F5DE8-B24A-4953-BB7E-7D7F4E31C742}" name="Tbd_TotalValu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colHeaderCaption="R.A.">
  <location ref="L9:M13" firstHeaderRow="1" firstDataRow="1" firstDataCol="1"/>
  <pivotFields count="21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numFmtId="164" showAll="0"/>
    <pivotField numFmtId="14" showAll="0"/>
    <pivotField numFmtId="14" showAll="0">
      <items count="297">
        <item x="0"/>
        <item m="1" x="12"/>
        <item m="1" x="13"/>
        <item m="1" x="14"/>
        <item m="1" x="16"/>
        <item m="1" x="17"/>
        <item m="1" x="18"/>
        <item m="1" x="15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3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x="4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x="5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x="6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x="7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x="8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x="9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x="10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x="11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E39566-A28E-43BE-BA28-760D50660A56}" name="Tbd_expiration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 colHeaderCaption="R.A.">
  <location ref="I9:J23" firstHeaderRow="1" firstDataRow="1" firstDataCol="1"/>
  <pivotFields count="21">
    <pivotField showAll="0"/>
    <pivotField dataField="1"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numFmtId="164" showAll="0"/>
    <pivotField axis="axisRow" numFmtId="164" showAll="0" sortType="ascending">
      <items count="270">
        <item h="1" x="0"/>
        <item m="1" x="22"/>
        <item m="1" x="23"/>
        <item m="1" x="26"/>
        <item m="1" x="15"/>
        <item m="1" x="28"/>
        <item m="1" x="27"/>
        <item m="1" x="32"/>
        <item m="1" x="34"/>
        <item m="1" x="36"/>
        <item m="1" x="38"/>
        <item m="1" x="40"/>
        <item m="1" x="42"/>
        <item m="1" x="44"/>
        <item m="1" x="46"/>
        <item m="1" x="48"/>
        <item m="1" x="50"/>
        <item m="1" x="52"/>
        <item m="1" x="54"/>
        <item m="1" x="56"/>
        <item m="1" x="14"/>
        <item m="1" x="60"/>
        <item m="1" x="61"/>
        <item m="1" x="25"/>
        <item m="1" x="66"/>
        <item m="1" x="68"/>
        <item m="1" x="70"/>
        <item m="1" x="72"/>
        <item m="1" x="74"/>
        <item m="1" x="76"/>
        <item m="1" x="78"/>
        <item m="1" x="80"/>
        <item m="1" x="82"/>
        <item m="1" x="84"/>
        <item m="1" x="16"/>
        <item m="1" x="29"/>
        <item m="1" x="88"/>
        <item m="1" x="31"/>
        <item m="1" x="35"/>
        <item m="1" x="93"/>
        <item m="1" x="39"/>
        <item m="1" x="96"/>
        <item m="1" x="43"/>
        <item m="1" x="99"/>
        <item m="1" x="47"/>
        <item m="1" x="102"/>
        <item m="1" x="51"/>
        <item m="1" x="105"/>
        <item m="1" x="55"/>
        <item m="1" x="17"/>
        <item m="1" x="57"/>
        <item m="1" x="59"/>
        <item m="1" x="111"/>
        <item m="1" x="63"/>
        <item m="1" x="64"/>
        <item m="1" x="115"/>
        <item m="1" x="67"/>
        <item m="1" x="119"/>
        <item m="1" x="120"/>
        <item m="1" x="71"/>
        <item m="1" x="124"/>
        <item m="1" x="75"/>
        <item m="1" x="127"/>
        <item m="1" x="79"/>
        <item m="1" x="130"/>
        <item m="1" x="83"/>
        <item m="1" x="18"/>
        <item m="1" x="85"/>
        <item m="1" x="134"/>
        <item m="1" x="87"/>
        <item m="1" x="136"/>
        <item m="1" x="138"/>
        <item m="1" x="90"/>
        <item m="1" x="91"/>
        <item m="1" x="140"/>
        <item m="1" x="94"/>
        <item m="1" x="144"/>
        <item m="1" x="145"/>
        <item m="1" x="97"/>
        <item m="1" x="149"/>
        <item m="1" x="100"/>
        <item m="1" x="152"/>
        <item m="1" x="103"/>
        <item m="1" x="155"/>
        <item m="1" x="106"/>
        <item m="1" x="107"/>
        <item m="1" x="158"/>
        <item m="1" x="19"/>
        <item m="1" x="159"/>
        <item m="1" x="110"/>
        <item m="1" x="161"/>
        <item m="1" x="163"/>
        <item m="1" x="113"/>
        <item m="1" x="114"/>
        <item m="1" x="166"/>
        <item m="1" x="116"/>
        <item m="1" x="168"/>
        <item m="1" x="118"/>
        <item m="1" x="170"/>
        <item m="1" x="172"/>
        <item m="1" x="122"/>
        <item m="1" x="123"/>
        <item m="1" x="174"/>
        <item m="1" x="126"/>
        <item m="1" x="178"/>
        <item m="1" x="179"/>
        <item m="1" x="129"/>
        <item m="1" x="183"/>
        <item m="1" x="132"/>
        <item m="1" x="20"/>
        <item m="1" x="187"/>
        <item m="1" x="135"/>
        <item m="1" x="189"/>
        <item m="1" x="191"/>
        <item m="1" x="139"/>
        <item m="1" x="193"/>
        <item m="1" x="141"/>
        <item m="1" x="143"/>
        <item m="1" x="197"/>
        <item m="1" x="147"/>
        <item m="1" x="148"/>
        <item m="1" x="151"/>
        <item m="1" x="202"/>
        <item m="1" x="154"/>
        <item m="1" x="206"/>
        <item m="1" x="208"/>
        <item m="1" x="157"/>
        <item m="1" x="21"/>
        <item m="1" x="160"/>
        <item m="1" x="212"/>
        <item m="1" x="164"/>
        <item m="1" x="215"/>
        <item m="1" x="167"/>
        <item m="1" x="218"/>
        <item m="1" x="171"/>
        <item m="1" x="221"/>
        <item m="1" x="223"/>
        <item m="1" x="175"/>
        <item m="1" x="225"/>
        <item m="1" x="177"/>
        <item m="1" x="227"/>
        <item m="1" x="229"/>
        <item m="1" x="181"/>
        <item m="1" x="182"/>
        <item m="1" x="232"/>
        <item m="1" x="185"/>
        <item x="9"/>
        <item m="1" x="234"/>
        <item m="1" x="188"/>
        <item m="1" x="237"/>
        <item m="1" x="238"/>
        <item m="1" x="192"/>
        <item m="1" x="242"/>
        <item m="1" x="195"/>
        <item m="1" x="198"/>
        <item m="1" x="247"/>
        <item m="1" x="199"/>
        <item m="1" x="249"/>
        <item m="1" x="201"/>
        <item m="1" x="251"/>
        <item m="1" x="253"/>
        <item m="1" x="204"/>
        <item m="1" x="205"/>
        <item m="1" x="256"/>
        <item m="1" x="209"/>
        <item x="1"/>
        <item m="1" x="258"/>
        <item m="1" x="211"/>
        <item m="1" x="261"/>
        <item m="1" x="214"/>
        <item m="1" x="264"/>
        <item m="1" x="217"/>
        <item m="1" x="267"/>
        <item m="1" x="24"/>
        <item m="1" x="220"/>
        <item m="1" x="224"/>
        <item m="1" x="228"/>
        <item m="1" x="231"/>
        <item x="11"/>
        <item m="1" x="236"/>
        <item m="1" x="239"/>
        <item m="1" x="241"/>
        <item m="1" x="244"/>
        <item m="1" x="245"/>
        <item m="1" x="248"/>
        <item m="1" x="252"/>
        <item m="1" x="255"/>
        <item x="2"/>
        <item m="1" x="30"/>
        <item m="1" x="260"/>
        <item m="1" x="33"/>
        <item m="1" x="263"/>
        <item m="1" x="37"/>
        <item m="1" x="266"/>
        <item m="1" x="41"/>
        <item m="1" x="45"/>
        <item m="1" x="49"/>
        <item m="1" x="53"/>
        <item x="3"/>
        <item m="1" x="58"/>
        <item m="1" x="62"/>
        <item m="1" x="65"/>
        <item m="1" x="69"/>
        <item m="1" x="73"/>
        <item m="1" x="77"/>
        <item m="1" x="81"/>
        <item x="4"/>
        <item m="1" x="86"/>
        <item m="1" x="89"/>
        <item m="1" x="92"/>
        <item m="1" x="95"/>
        <item m="1" x="98"/>
        <item m="1" x="101"/>
        <item m="1" x="104"/>
        <item m="1" x="108"/>
        <item x="5"/>
        <item m="1" x="109"/>
        <item m="1" x="112"/>
        <item m="1" x="117"/>
        <item m="1" x="121"/>
        <item m="1" x="125"/>
        <item m="1" x="128"/>
        <item m="1" x="131"/>
        <item x="6"/>
        <item m="1" x="133"/>
        <item m="1" x="137"/>
        <item m="1" x="142"/>
        <item m="1" x="146"/>
        <item m="1" x="150"/>
        <item m="1" x="153"/>
        <item m="1" x="156"/>
        <item x="7"/>
        <item m="1" x="162"/>
        <item m="1" x="165"/>
        <item m="1" x="169"/>
        <item m="1" x="173"/>
        <item m="1" x="176"/>
        <item m="1" x="180"/>
        <item m="1" x="184"/>
        <item x="8"/>
        <item m="1" x="186"/>
        <item m="1" x="190"/>
        <item m="1" x="194"/>
        <item m="1" x="196"/>
        <item m="1" x="200"/>
        <item m="1" x="203"/>
        <item m="1" x="207"/>
        <item x="10"/>
        <item m="1" x="210"/>
        <item m="1" x="213"/>
        <item m="1" x="216"/>
        <item m="1" x="219"/>
        <item m="1" x="222"/>
        <item m="1" x="226"/>
        <item m="1" x="230"/>
        <item m="1" x="233"/>
        <item x="12"/>
        <item m="1" x="235"/>
        <item m="1" x="240"/>
        <item m="1" x="243"/>
        <item m="1" x="246"/>
        <item m="1" x="250"/>
        <item m="1" x="254"/>
        <item m="1" x="257"/>
        <item x="13"/>
        <item m="1" x="259"/>
        <item m="1" x="262"/>
        <item m="1" x="265"/>
        <item m="1" x="268"/>
        <item t="default"/>
      </items>
    </pivotField>
    <pivotField numFmtId="164" showAll="0" sortType="ascending">
      <items count="297">
        <item x="0"/>
        <item m="1" x="12"/>
        <item x="1"/>
        <item m="1" x="13"/>
        <item m="1" x="14"/>
        <item x="2"/>
        <item m="1" x="16"/>
        <item m="1" x="17"/>
        <item m="1" x="18"/>
        <item m="1" x="15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3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x="4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x="5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x="6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x="7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x="8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x="9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x="10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x="11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t="default"/>
      </items>
    </pivotField>
    <pivotField showAll="0">
      <items count="3">
        <item x="0"/>
        <item x="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numFmtId="164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4">
    <i>
      <x v="146"/>
    </i>
    <i>
      <x v="165"/>
    </i>
    <i>
      <x v="178"/>
    </i>
    <i>
      <x v="187"/>
    </i>
    <i>
      <x v="198"/>
    </i>
    <i>
      <x v="206"/>
    </i>
    <i>
      <x v="215"/>
    </i>
    <i>
      <x v="223"/>
    </i>
    <i>
      <x v="231"/>
    </i>
    <i>
      <x v="239"/>
    </i>
    <i>
      <x v="247"/>
    </i>
    <i>
      <x v="256"/>
    </i>
    <i>
      <x v="264"/>
    </i>
    <i t="grand">
      <x/>
    </i>
  </rowItems>
  <colItems count="1">
    <i/>
  </colItems>
  <dataFields count="1">
    <dataField name="Acquisition" fld="1" subtotal="count" baseField="0" baseItem="0"/>
  </dataFields>
  <chartFormats count="5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340CC-C3C1-4209-9A4C-EF0D04EEB0F8}" name="Tbd_Coupon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colHeaderCaption="R.A.">
  <location ref="U9:U10" firstHeaderRow="1" firstDataRow="1" firstDataCol="0"/>
  <pivotFields count="21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dataField="1" numFmtId="44" showAll="0"/>
    <pivotField numFmtId="44" showAll="0"/>
    <pivotField numFmtId="164" showAll="0"/>
    <pivotField numFmtId="14" showAll="0"/>
    <pivotField numFmtId="14" showAll="0">
      <items count="297">
        <item x="0"/>
        <item m="1" x="12"/>
        <item m="1" x="13"/>
        <item m="1" x="14"/>
        <item m="1" x="16"/>
        <item m="1" x="17"/>
        <item m="1" x="18"/>
        <item m="1" x="15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3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x="4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x="5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x="6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x="7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x="8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x="9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x="10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x="11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Coupon Value" fld="11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8A2E2-01C0-462E-B661-A8EFD8736CD5}" name="Tbd_Minecraft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colHeaderCaption="R.A.">
  <location ref="R9:S12" firstHeaderRow="1" firstDataRow="1" firstDataCol="1"/>
  <pivotFields count="21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  <pivotField numFmtId="164" showAll="0"/>
    <pivotField numFmtId="14" showAll="0"/>
    <pivotField numFmtId="14" showAll="0">
      <items count="297">
        <item x="0"/>
        <item m="1" x="12"/>
        <item m="1" x="13"/>
        <item m="1" x="14"/>
        <item m="1" x="16"/>
        <item m="1" x="17"/>
        <item m="1" x="18"/>
        <item m="1" x="15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3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x="4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x="5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x="6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x="7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x="8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x="9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x="10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x="11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63620-752C-4F66-B03B-B77A2D1C6D45}" name="Tbd_Salesmonth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colHeaderCaption="R.A.">
  <location ref="F9:G22" firstHeaderRow="1" firstDataRow="1" firstDataCol="1"/>
  <pivotFields count="21">
    <pivotField showAll="0"/>
    <pivotField dataField="1"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numFmtId="164" showAll="0"/>
    <pivotField numFmtId="14" showAll="0"/>
    <pivotField axis="axisRow" numFmtId="164" showAll="0" sortType="ascending">
      <items count="297">
        <item x="0"/>
        <item m="1" x="12"/>
        <item x="1"/>
        <item m="1" x="13"/>
        <item m="1" x="14"/>
        <item x="2"/>
        <item m="1" x="16"/>
        <item m="1" x="17"/>
        <item m="1" x="18"/>
        <item m="1" x="15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3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x="4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x="5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x="6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x="7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x="8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x="9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x="10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x="11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t="default"/>
      </items>
    </pivotField>
    <pivotField showAll="0">
      <items count="3">
        <item x="0"/>
        <item x="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numFmtId="164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5"/>
  </rowFields>
  <rowItems count="13">
    <i>
      <x/>
    </i>
    <i>
      <x v="2"/>
    </i>
    <i>
      <x v="5"/>
    </i>
    <i>
      <x v="36"/>
    </i>
    <i>
      <x v="66"/>
    </i>
    <i>
      <x v="97"/>
    </i>
    <i>
      <x v="127"/>
    </i>
    <i>
      <x v="158"/>
    </i>
    <i>
      <x v="189"/>
    </i>
    <i>
      <x v="219"/>
    </i>
    <i>
      <x v="250"/>
    </i>
    <i>
      <x v="280"/>
    </i>
    <i t="grand">
      <x/>
    </i>
  </rowItems>
  <colItems count="1">
    <i/>
  </colItems>
  <dataFields count="1">
    <dataField name="Acquisition" fld="1" subtotal="count" baseField="0" baseItem="0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B1B5E-A444-4639-BFD2-4E983325BEC8}" name="Tbd_SubQty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colHeaderCaption="R.A.">
  <location ref="B18:C22" firstHeaderRow="1" firstDataRow="1" firstDataCol="1"/>
  <pivotFields count="21"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numFmtId="164" showAll="0"/>
    <pivotField numFmtId="14" showAll="0"/>
    <pivotField numFmtId="14" showAll="0">
      <items count="297">
        <item x="0"/>
        <item m="1" x="12"/>
        <item m="1" x="13"/>
        <item m="1" x="14"/>
        <item m="1" x="16"/>
        <item m="1" x="17"/>
        <item m="1" x="18"/>
        <item m="1" x="15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3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x="4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x="5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x="6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x="7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x="8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x="9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x="10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x="11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250E04B-1541-4F98-A7D5-1261A6203F6A}" sourceName="Subscription Type">
  <pivotTables>
    <pivotTable tabId="3" name="Tbd_Salesmonth"/>
    <pivotTable tabId="3" name="Tbd_SubscrPrice"/>
    <pivotTable tabId="3" name="Tbd_expiration"/>
    <pivotTable tabId="3" name="Tbd_TotalValue"/>
    <pivotTable tabId="3" name="Tbd_EAPrice"/>
    <pivotTable tabId="3" name="Tbd_SubQty"/>
    <pivotTable tabId="3" name="Tbd_Minecraft"/>
    <pivotTable tabId="3" name="Tbd_Coupon"/>
  </pivotTables>
  <data>
    <tabular pivotCacheId="2029497755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new" xr10:uid="{B242B7C9-E94E-4354-98B7-017C03433547}" sourceName="Renew">
  <pivotTables>
    <pivotTable tabId="3" name="Tbd_Minecraft"/>
    <pivotTable tabId="3" name="Tbd_Coupon"/>
    <pivotTable tabId="3" name="Tbd_EAPrice"/>
    <pivotTable tabId="3" name="Tbd_expiration"/>
    <pivotTable tabId="3" name="Tbd_Salesmonth"/>
    <pivotTable tabId="3" name="Tbd_SubQty"/>
    <pivotTable tabId="3" name="Tbd_SubscrPrice"/>
    <pivotTable tabId="3" name="Tbd_TotalValue"/>
  </pivotTables>
  <data>
    <tabular pivotCacheId="2029497755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FB6AACB-C117-4146-8211-4910884A1DD4}" cache="SegmentaçãodeDados_Subscription_Type" caption="Subscription Plan" style="Dio" rowHeight="257175"/>
  <slicer name="Renew" xr10:uid="{5CA67D30-0A63-4CB1-BF82-1D1D197EE400}" cache="SegmentaçãodeDados_Renew" caption="Renew Type" style="Dio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_Data" displayName="Tb_Data" ref="A1:Q296" totalsRowShown="0" dataDxfId="17">
  <autoFilter ref="A1:Q296" xr:uid="{34E0E886-4200-4B36-97B3-63DB74FF40A0}"/>
  <tableColumns count="17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  <tableColumn id="14" xr3:uid="{DE19344F-7FE5-4865-9C86-F7F2E4491926}" name="Expiration_date" dataDxfId="3" dataCellStyle="Moeda">
      <calculatedColumnFormula array="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calculatedColumnFormula>
    </tableColumn>
    <tableColumn id="15" xr3:uid="{7A0284CF-3C27-4C9D-B9D0-4DD8E86667B8}" name="Expiration" dataDxfId="2" dataCellStyle="Moeda">
      <calculatedColumnFormula>IF(Tb_Data[[#This Row],[Expiration_date]]&lt;C̳álculos!$I$6,"",Tb_Data[[#This Row],[Expiration_date]])</calculatedColumnFormula>
    </tableColumn>
    <tableColumn id="16" xr3:uid="{33006E33-A132-445C-870A-B5462B5FC2A2}" name="Month" dataDxfId="1" dataCellStyle="Moeda">
      <calculatedColumnFormula>DATEVALUE(_xlfn.CONCAT("01/",MONTH(Tb_Data[[#This Row],[Start Date]]),"/",YEAR(Tb_Data[[#This Row],[Start Date]])))</calculatedColumnFormula>
    </tableColumn>
    <tableColumn id="17" xr3:uid="{DE1E74FC-A7C5-4B6B-A40B-A0DAE43E98FA}" name="Renew" dataDxfId="0">
      <calculatedColumnFormula>IF(Tb_Data[[#This Row],[Auto Renewal]]="yes","Auto","Manual")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R12" sqref="R12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  <c r="J5" s="15" t="s">
        <v>317</v>
      </c>
      <c r="K5" t="s">
        <v>318</v>
      </c>
    </row>
    <row r="6" spans="2:16" x14ac:dyDescent="0.25">
      <c r="B6" s="4" t="s">
        <v>3</v>
      </c>
      <c r="C6" t="s">
        <v>8</v>
      </c>
      <c r="J6" s="23" t="s">
        <v>331</v>
      </c>
      <c r="K6" t="s">
        <v>319</v>
      </c>
    </row>
    <row r="7" spans="2:16" x14ac:dyDescent="0.25">
      <c r="B7" s="5" t="s">
        <v>4</v>
      </c>
      <c r="C7" t="s">
        <v>9</v>
      </c>
      <c r="J7" s="16" t="s">
        <v>322</v>
      </c>
      <c r="K7" t="s">
        <v>323</v>
      </c>
    </row>
    <row r="8" spans="2:16" x14ac:dyDescent="0.25">
      <c r="B8" s="6" t="s">
        <v>5</v>
      </c>
      <c r="C8" t="s">
        <v>9</v>
      </c>
      <c r="J8" s="19" t="s">
        <v>325</v>
      </c>
      <c r="K8" t="s">
        <v>326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Q296"/>
  <sheetViews>
    <sheetView zoomScale="90" zoomScaleNormal="90" workbookViewId="0">
      <selection activeCell="R12" sqref="R12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  <col min="14" max="14" width="13" bestFit="1" customWidth="1"/>
    <col min="15" max="15" width="13" customWidth="1"/>
    <col min="16" max="16" width="11.28515625" bestFit="1" customWidth="1"/>
  </cols>
  <sheetData>
    <row r="1" spans="1:17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  <c r="N1" t="s">
        <v>327</v>
      </c>
      <c r="O1" t="s">
        <v>320</v>
      </c>
      <c r="P1" t="s">
        <v>324</v>
      </c>
      <c r="Q1" t="s">
        <v>338</v>
      </c>
    </row>
    <row r="2" spans="1:17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  <c r="N2" s="18" cm="1">
        <f t="array" ref="N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45323</v>
      </c>
      <c r="O2" s="18" t="str">
        <f>IF(Tb_Data[[#This Row],[Expiration_date]]&lt;C̳álculos!$I$6,"",Tb_Data[[#This Row],[Expiration_date]])</f>
        <v/>
      </c>
      <c r="P2" s="18">
        <f>DATEVALUE(_xlfn.CONCAT("01/",MONTH(Tb_Data[[#This Row],[Start Date]]),"/",YEAR(Tb_Data[[#This Row],[Start Date]])))</f>
        <v>45292</v>
      </c>
      <c r="Q2" s="8" t="str">
        <f>IF(Tb_Data[[#This Row],[Auto Renewal]]="yes","Auto","Manual")</f>
        <v>Auto</v>
      </c>
    </row>
    <row r="3" spans="1:17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  <c r="N3" s="18" cm="1">
        <f t="array" ref="N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45658</v>
      </c>
      <c r="O3" s="18">
        <f>IF(Tb_Data[[#This Row],[Expiration_date]]&lt;C̳álculos!$I$6,"",Tb_Data[[#This Row],[Expiration_date]])</f>
        <v>45658</v>
      </c>
      <c r="P3" s="18">
        <f>DATEVALUE(_xlfn.CONCAT("01/",MONTH(Tb_Data[[#This Row],[Start Date]]),"/",YEAR(Tb_Data[[#This Row],[Start Date]])))</f>
        <v>45292</v>
      </c>
      <c r="Q3" s="8" t="str">
        <f>IF(Tb_Data[[#This Row],[Auto Renewal]]="yes","Auto","Manual")</f>
        <v>Manual</v>
      </c>
    </row>
    <row r="4" spans="1:17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  <c r="N4" s="18" cm="1">
        <f t="array" ref="N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45413</v>
      </c>
      <c r="O4" s="18" t="str">
        <f>IF(Tb_Data[[#This Row],[Expiration_date]]&lt;C̳álculos!$I$6,"",Tb_Data[[#This Row],[Expiration_date]])</f>
        <v/>
      </c>
      <c r="P4" s="18">
        <f>DATEVALUE(_xlfn.CONCAT("01/",MONTH(Tb_Data[[#This Row],[Start Date]]),"/",YEAR(Tb_Data[[#This Row],[Start Date]])))</f>
        <v>45323</v>
      </c>
      <c r="Q4" s="8" t="str">
        <f>IF(Tb_Data[[#This Row],[Auto Renewal]]="yes","Auto","Manual")</f>
        <v>Auto</v>
      </c>
    </row>
    <row r="5" spans="1:17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  <c r="N5" s="18" cm="1">
        <f t="array" ref="N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45352</v>
      </c>
      <c r="O5" s="18" t="str">
        <f>IF(Tb_Data[[#This Row],[Expiration_date]]&lt;C̳álculos!$I$6,"",Tb_Data[[#This Row],[Expiration_date]])</f>
        <v/>
      </c>
      <c r="P5" s="18">
        <f>DATEVALUE(_xlfn.CONCAT("01/",MONTH(Tb_Data[[#This Row],[Start Date]]),"/",YEAR(Tb_Data[[#This Row],[Start Date]])))</f>
        <v>45323</v>
      </c>
      <c r="Q5" s="8" t="str">
        <f>IF(Tb_Data[[#This Row],[Auto Renewal]]="yes","Auto","Manual")</f>
        <v>Manual</v>
      </c>
    </row>
    <row r="6" spans="1:17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  <c r="N6" s="18" cm="1">
        <f t="array" ref="N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45383</v>
      </c>
      <c r="O6" s="18" t="str">
        <f>IF(Tb_Data[[#This Row],[Expiration_date]]&lt;C̳álculos!$I$6,"",Tb_Data[[#This Row],[Expiration_date]])</f>
        <v/>
      </c>
      <c r="P6" s="18">
        <f>DATEVALUE(_xlfn.CONCAT("01/",MONTH(Tb_Data[[#This Row],[Start Date]]),"/",YEAR(Tb_Data[[#This Row],[Start Date]])))</f>
        <v>45352</v>
      </c>
      <c r="Q6" s="8" t="str">
        <f>IF(Tb_Data[[#This Row],[Auto Renewal]]="yes","Auto","Manual")</f>
        <v>Auto</v>
      </c>
    </row>
    <row r="7" spans="1:17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  <c r="N7" s="18" cm="1">
        <f t="array" ref="N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45383</v>
      </c>
      <c r="O7" s="18" t="str">
        <f>IF(Tb_Data[[#This Row],[Expiration_date]]&lt;C̳álculos!$I$6,"",Tb_Data[[#This Row],[Expiration_date]])</f>
        <v/>
      </c>
      <c r="P7" s="18">
        <f>DATEVALUE(_xlfn.CONCAT("01/",MONTH(Tb_Data[[#This Row],[Start Date]]),"/",YEAR(Tb_Data[[#This Row],[Start Date]])))</f>
        <v>45352</v>
      </c>
      <c r="Q7" s="8" t="str">
        <f>IF(Tb_Data[[#This Row],[Auto Renewal]]="yes","Auto","Manual")</f>
        <v>Manual</v>
      </c>
    </row>
    <row r="8" spans="1:17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  <c r="N8" s="18" cm="1">
        <f t="array" ref="N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45444</v>
      </c>
      <c r="O8" s="18" t="str">
        <f>IF(Tb_Data[[#This Row],[Expiration_date]]&lt;C̳álculos!$I$6,"",Tb_Data[[#This Row],[Expiration_date]])</f>
        <v/>
      </c>
      <c r="P8" s="18">
        <f>DATEVALUE(_xlfn.CONCAT("01/",MONTH(Tb_Data[[#This Row],[Start Date]]),"/",YEAR(Tb_Data[[#This Row],[Start Date]])))</f>
        <v>45352</v>
      </c>
      <c r="Q8" s="8" t="str">
        <f>IF(Tb_Data[[#This Row],[Auto Renewal]]="yes","Auto","Manual")</f>
        <v>Auto</v>
      </c>
    </row>
    <row r="9" spans="1:17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  <c r="N9" s="18" cm="1">
        <f t="array" ref="N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45717</v>
      </c>
      <c r="O9" s="18">
        <f>IF(Tb_Data[[#This Row],[Expiration_date]]&lt;C̳álculos!$I$6,"",Tb_Data[[#This Row],[Expiration_date]])</f>
        <v>45717</v>
      </c>
      <c r="P9" s="18">
        <f>DATEVALUE(_xlfn.CONCAT("01/",MONTH(Tb_Data[[#This Row],[Start Date]]),"/",YEAR(Tb_Data[[#This Row],[Start Date]])))</f>
        <v>45352</v>
      </c>
      <c r="Q9" s="8" t="str">
        <f>IF(Tb_Data[[#This Row],[Auto Renewal]]="yes","Auto","Manual")</f>
        <v>Auto</v>
      </c>
    </row>
    <row r="10" spans="1:17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  <c r="N10" s="18" cm="1">
        <f t="array" ref="N1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45383</v>
      </c>
      <c r="O10" s="18" t="str">
        <f>IF(Tb_Data[[#This Row],[Expiration_date]]&lt;C̳álculos!$I$6,"",Tb_Data[[#This Row],[Expiration_date]])</f>
        <v/>
      </c>
      <c r="P10" s="18">
        <f>DATEVALUE(_xlfn.CONCAT("01/",MONTH(Tb_Data[[#This Row],[Start Date]]),"/",YEAR(Tb_Data[[#This Row],[Start Date]])))</f>
        <v>45352</v>
      </c>
      <c r="Q10" s="8" t="str">
        <f>IF(Tb_Data[[#This Row],[Auto Renewal]]="yes","Auto","Manual")</f>
        <v>Manual</v>
      </c>
    </row>
    <row r="11" spans="1:17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  <c r="N11" s="18" cm="1">
        <f t="array" ref="N1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45444</v>
      </c>
      <c r="O11" s="18" t="str">
        <f>IF(Tb_Data[[#This Row],[Expiration_date]]&lt;C̳álculos!$I$6,"",Tb_Data[[#This Row],[Expiration_date]])</f>
        <v/>
      </c>
      <c r="P11" s="18">
        <f>DATEVALUE(_xlfn.CONCAT("01/",MONTH(Tb_Data[[#This Row],[Start Date]]),"/",YEAR(Tb_Data[[#This Row],[Start Date]])))</f>
        <v>45352</v>
      </c>
      <c r="Q11" s="8" t="str">
        <f>IF(Tb_Data[[#This Row],[Auto Renewal]]="yes","Auto","Manual")</f>
        <v>Auto</v>
      </c>
    </row>
    <row r="12" spans="1:17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  <c r="N12" s="18" cm="1">
        <f t="array" ref="N1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45383</v>
      </c>
      <c r="O12" s="18" t="str">
        <f>IF(Tb_Data[[#This Row],[Expiration_date]]&lt;C̳álculos!$I$6,"",Tb_Data[[#This Row],[Expiration_date]])</f>
        <v/>
      </c>
      <c r="P12" s="18">
        <f>DATEVALUE(_xlfn.CONCAT("01/",MONTH(Tb_Data[[#This Row],[Start Date]]),"/",YEAR(Tb_Data[[#This Row],[Start Date]])))</f>
        <v>45352</v>
      </c>
      <c r="Q12" s="8" t="str">
        <f>IF(Tb_Data[[#This Row],[Auto Renewal]]="yes","Auto","Manual")</f>
        <v>Manual</v>
      </c>
    </row>
    <row r="13" spans="1:17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  <c r="N13" s="18" cm="1">
        <f t="array" ref="N1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45717</v>
      </c>
      <c r="O13" s="18">
        <f>IF(Tb_Data[[#This Row],[Expiration_date]]&lt;C̳álculos!$I$6,"",Tb_Data[[#This Row],[Expiration_date]])</f>
        <v>45717</v>
      </c>
      <c r="P13" s="18">
        <f>DATEVALUE(_xlfn.CONCAT("01/",MONTH(Tb_Data[[#This Row],[Start Date]]),"/",YEAR(Tb_Data[[#This Row],[Start Date]])))</f>
        <v>45352</v>
      </c>
      <c r="Q13" s="8" t="str">
        <f>IF(Tb_Data[[#This Row],[Auto Renewal]]="yes","Auto","Manual")</f>
        <v>Auto</v>
      </c>
    </row>
    <row r="14" spans="1:17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  <c r="N14" s="18" cm="1">
        <f t="array" ref="N1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45383</v>
      </c>
      <c r="O14" s="18" t="str">
        <f>IF(Tb_Data[[#This Row],[Expiration_date]]&lt;C̳álculos!$I$6,"",Tb_Data[[#This Row],[Expiration_date]])</f>
        <v/>
      </c>
      <c r="P14" s="18">
        <f>DATEVALUE(_xlfn.CONCAT("01/",MONTH(Tb_Data[[#This Row],[Start Date]]),"/",YEAR(Tb_Data[[#This Row],[Start Date]])))</f>
        <v>45352</v>
      </c>
      <c r="Q14" s="8" t="str">
        <f>IF(Tb_Data[[#This Row],[Auto Renewal]]="yes","Auto","Manual")</f>
        <v>Manual</v>
      </c>
    </row>
    <row r="15" spans="1:17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  <c r="N15" s="18" cm="1">
        <f t="array" ref="N1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45444</v>
      </c>
      <c r="O15" s="18" t="str">
        <f>IF(Tb_Data[[#This Row],[Expiration_date]]&lt;C̳álculos!$I$6,"",Tb_Data[[#This Row],[Expiration_date]])</f>
        <v/>
      </c>
      <c r="P15" s="18">
        <f>DATEVALUE(_xlfn.CONCAT("01/",MONTH(Tb_Data[[#This Row],[Start Date]]),"/",YEAR(Tb_Data[[#This Row],[Start Date]])))</f>
        <v>45352</v>
      </c>
      <c r="Q15" s="8" t="str">
        <f>IF(Tb_Data[[#This Row],[Auto Renewal]]="yes","Auto","Manual")</f>
        <v>Auto</v>
      </c>
    </row>
    <row r="16" spans="1:17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  <c r="N16" s="18" cm="1">
        <f t="array" ref="N1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45383</v>
      </c>
      <c r="O16" s="18" t="str">
        <f>IF(Tb_Data[[#This Row],[Expiration_date]]&lt;C̳álculos!$I$6,"",Tb_Data[[#This Row],[Expiration_date]])</f>
        <v/>
      </c>
      <c r="P16" s="18">
        <f>DATEVALUE(_xlfn.CONCAT("01/",MONTH(Tb_Data[[#This Row],[Start Date]]),"/",YEAR(Tb_Data[[#This Row],[Start Date]])))</f>
        <v>45352</v>
      </c>
      <c r="Q16" s="8" t="str">
        <f>IF(Tb_Data[[#This Row],[Auto Renewal]]="yes","Auto","Manual")</f>
        <v>Manual</v>
      </c>
    </row>
    <row r="17" spans="1:17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  <c r="N17" s="18" cm="1">
        <f t="array" ref="N1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45717</v>
      </c>
      <c r="O17" s="18">
        <f>IF(Tb_Data[[#This Row],[Expiration_date]]&lt;C̳álculos!$I$6,"",Tb_Data[[#This Row],[Expiration_date]])</f>
        <v>45717</v>
      </c>
      <c r="P17" s="18">
        <f>DATEVALUE(_xlfn.CONCAT("01/",MONTH(Tb_Data[[#This Row],[Start Date]]),"/",YEAR(Tb_Data[[#This Row],[Start Date]])))</f>
        <v>45352</v>
      </c>
      <c r="Q17" s="8" t="str">
        <f>IF(Tb_Data[[#This Row],[Auto Renewal]]="yes","Auto","Manual")</f>
        <v>Auto</v>
      </c>
    </row>
    <row r="18" spans="1:17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  <c r="N18" s="18" cm="1">
        <f t="array" ref="N1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45383</v>
      </c>
      <c r="O18" s="18" t="str">
        <f>IF(Tb_Data[[#This Row],[Expiration_date]]&lt;C̳álculos!$I$6,"",Tb_Data[[#This Row],[Expiration_date]])</f>
        <v/>
      </c>
      <c r="P18" s="18">
        <f>DATEVALUE(_xlfn.CONCAT("01/",MONTH(Tb_Data[[#This Row],[Start Date]]),"/",YEAR(Tb_Data[[#This Row],[Start Date]])))</f>
        <v>45352</v>
      </c>
      <c r="Q18" s="8" t="str">
        <f>IF(Tb_Data[[#This Row],[Auto Renewal]]="yes","Auto","Manual")</f>
        <v>Manual</v>
      </c>
    </row>
    <row r="19" spans="1:17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  <c r="N19" s="18" cm="1">
        <f t="array" ref="N1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45444</v>
      </c>
      <c r="O19" s="18" t="str">
        <f>IF(Tb_Data[[#This Row],[Expiration_date]]&lt;C̳álculos!$I$6,"",Tb_Data[[#This Row],[Expiration_date]])</f>
        <v/>
      </c>
      <c r="P19" s="18">
        <f>DATEVALUE(_xlfn.CONCAT("01/",MONTH(Tb_Data[[#This Row],[Start Date]]),"/",YEAR(Tb_Data[[#This Row],[Start Date]])))</f>
        <v>45352</v>
      </c>
      <c r="Q19" s="8" t="str">
        <f>IF(Tb_Data[[#This Row],[Auto Renewal]]="yes","Auto","Manual")</f>
        <v>Auto</v>
      </c>
    </row>
    <row r="20" spans="1:17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  <c r="N20" s="18" cm="1">
        <f t="array" ref="N2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45383</v>
      </c>
      <c r="O20" s="18" t="str">
        <f>IF(Tb_Data[[#This Row],[Expiration_date]]&lt;C̳álculos!$I$6,"",Tb_Data[[#This Row],[Expiration_date]])</f>
        <v/>
      </c>
      <c r="P20" s="18">
        <f>DATEVALUE(_xlfn.CONCAT("01/",MONTH(Tb_Data[[#This Row],[Start Date]]),"/",YEAR(Tb_Data[[#This Row],[Start Date]])))</f>
        <v>45352</v>
      </c>
      <c r="Q20" s="8" t="str">
        <f>IF(Tb_Data[[#This Row],[Auto Renewal]]="yes","Auto","Manual")</f>
        <v>Manual</v>
      </c>
    </row>
    <row r="21" spans="1:17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  <c r="N21" s="18" cm="1">
        <f t="array" ref="N2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45717</v>
      </c>
      <c r="O21" s="18">
        <f>IF(Tb_Data[[#This Row],[Expiration_date]]&lt;C̳álculos!$I$6,"",Tb_Data[[#This Row],[Expiration_date]])</f>
        <v>45717</v>
      </c>
      <c r="P21" s="18">
        <f>DATEVALUE(_xlfn.CONCAT("01/",MONTH(Tb_Data[[#This Row],[Start Date]]),"/",YEAR(Tb_Data[[#This Row],[Start Date]])))</f>
        <v>45352</v>
      </c>
      <c r="Q21" s="8" t="str">
        <f>IF(Tb_Data[[#This Row],[Auto Renewal]]="yes","Auto","Manual")</f>
        <v>Auto</v>
      </c>
    </row>
    <row r="22" spans="1:17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  <c r="N22" s="18" cm="1">
        <f t="array" ref="N2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45383</v>
      </c>
      <c r="O22" s="18" t="str">
        <f>IF(Tb_Data[[#This Row],[Expiration_date]]&lt;C̳álculos!$I$6,"",Tb_Data[[#This Row],[Expiration_date]])</f>
        <v/>
      </c>
      <c r="P22" s="18">
        <f>DATEVALUE(_xlfn.CONCAT("01/",MONTH(Tb_Data[[#This Row],[Start Date]]),"/",YEAR(Tb_Data[[#This Row],[Start Date]])))</f>
        <v>45352</v>
      </c>
      <c r="Q22" s="8" t="str">
        <f>IF(Tb_Data[[#This Row],[Auto Renewal]]="yes","Auto","Manual")</f>
        <v>Manual</v>
      </c>
    </row>
    <row r="23" spans="1:17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  <c r="N23" s="18" cm="1">
        <f t="array" ref="N2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45444</v>
      </c>
      <c r="O23" s="18" t="str">
        <f>IF(Tb_Data[[#This Row],[Expiration_date]]&lt;C̳álculos!$I$6,"",Tb_Data[[#This Row],[Expiration_date]])</f>
        <v/>
      </c>
      <c r="P23" s="18">
        <f>DATEVALUE(_xlfn.CONCAT("01/",MONTH(Tb_Data[[#This Row],[Start Date]]),"/",YEAR(Tb_Data[[#This Row],[Start Date]])))</f>
        <v>45352</v>
      </c>
      <c r="Q23" s="8" t="str">
        <f>IF(Tb_Data[[#This Row],[Auto Renewal]]="yes","Auto","Manual")</f>
        <v>Auto</v>
      </c>
    </row>
    <row r="24" spans="1:17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  <c r="N24" s="18" cm="1">
        <f t="array" ref="N2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45383</v>
      </c>
      <c r="O24" s="18" t="str">
        <f>IF(Tb_Data[[#This Row],[Expiration_date]]&lt;C̳álculos!$I$6,"",Tb_Data[[#This Row],[Expiration_date]])</f>
        <v/>
      </c>
      <c r="P24" s="18">
        <f>DATEVALUE(_xlfn.CONCAT("01/",MONTH(Tb_Data[[#This Row],[Start Date]]),"/",YEAR(Tb_Data[[#This Row],[Start Date]])))</f>
        <v>45352</v>
      </c>
      <c r="Q24" s="8" t="str">
        <f>IF(Tb_Data[[#This Row],[Auto Renewal]]="yes","Auto","Manual")</f>
        <v>Manual</v>
      </c>
    </row>
    <row r="25" spans="1:17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  <c r="N25" s="18" cm="1">
        <f t="array" ref="N2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45717</v>
      </c>
      <c r="O25" s="18">
        <f>IF(Tb_Data[[#This Row],[Expiration_date]]&lt;C̳álculos!$I$6,"",Tb_Data[[#This Row],[Expiration_date]])</f>
        <v>45717</v>
      </c>
      <c r="P25" s="18">
        <f>DATEVALUE(_xlfn.CONCAT("01/",MONTH(Tb_Data[[#This Row],[Start Date]]),"/",YEAR(Tb_Data[[#This Row],[Start Date]])))</f>
        <v>45352</v>
      </c>
      <c r="Q25" s="8" t="str">
        <f>IF(Tb_Data[[#This Row],[Auto Renewal]]="yes","Auto","Manual")</f>
        <v>Auto</v>
      </c>
    </row>
    <row r="26" spans="1:17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  <c r="N26" s="18" cm="1">
        <f t="array" ref="N2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45383</v>
      </c>
      <c r="O26" s="18" t="str">
        <f>IF(Tb_Data[[#This Row],[Expiration_date]]&lt;C̳álculos!$I$6,"",Tb_Data[[#This Row],[Expiration_date]])</f>
        <v/>
      </c>
      <c r="P26" s="18">
        <f>DATEVALUE(_xlfn.CONCAT("01/",MONTH(Tb_Data[[#This Row],[Start Date]]),"/",YEAR(Tb_Data[[#This Row],[Start Date]])))</f>
        <v>45352</v>
      </c>
      <c r="Q26" s="8" t="str">
        <f>IF(Tb_Data[[#This Row],[Auto Renewal]]="yes","Auto","Manual")</f>
        <v>Manual</v>
      </c>
    </row>
    <row r="27" spans="1:17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  <c r="N27" s="18" cm="1">
        <f t="array" ref="N2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45444</v>
      </c>
      <c r="O27" s="18" t="str">
        <f>IF(Tb_Data[[#This Row],[Expiration_date]]&lt;C̳álculos!$I$6,"",Tb_Data[[#This Row],[Expiration_date]])</f>
        <v/>
      </c>
      <c r="P27" s="18">
        <f>DATEVALUE(_xlfn.CONCAT("01/",MONTH(Tb_Data[[#This Row],[Start Date]]),"/",YEAR(Tb_Data[[#This Row],[Start Date]])))</f>
        <v>45352</v>
      </c>
      <c r="Q27" s="8" t="str">
        <f>IF(Tb_Data[[#This Row],[Auto Renewal]]="yes","Auto","Manual")</f>
        <v>Auto</v>
      </c>
    </row>
    <row r="28" spans="1:17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  <c r="N28" s="18" cm="1">
        <f t="array" ref="N2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45383</v>
      </c>
      <c r="O28" s="18" t="str">
        <f>IF(Tb_Data[[#This Row],[Expiration_date]]&lt;C̳álculos!$I$6,"",Tb_Data[[#This Row],[Expiration_date]])</f>
        <v/>
      </c>
      <c r="P28" s="18">
        <f>DATEVALUE(_xlfn.CONCAT("01/",MONTH(Tb_Data[[#This Row],[Start Date]]),"/",YEAR(Tb_Data[[#This Row],[Start Date]])))</f>
        <v>45352</v>
      </c>
      <c r="Q28" s="8" t="str">
        <f>IF(Tb_Data[[#This Row],[Auto Renewal]]="yes","Auto","Manual")</f>
        <v>Manual</v>
      </c>
    </row>
    <row r="29" spans="1:17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  <c r="N29" s="18" cm="1">
        <f t="array" ref="N2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45717</v>
      </c>
      <c r="O29" s="18">
        <f>IF(Tb_Data[[#This Row],[Expiration_date]]&lt;C̳álculos!$I$6,"",Tb_Data[[#This Row],[Expiration_date]])</f>
        <v>45717</v>
      </c>
      <c r="P29" s="18">
        <f>DATEVALUE(_xlfn.CONCAT("01/",MONTH(Tb_Data[[#This Row],[Start Date]]),"/",YEAR(Tb_Data[[#This Row],[Start Date]])))</f>
        <v>45352</v>
      </c>
      <c r="Q29" s="8" t="str">
        <f>IF(Tb_Data[[#This Row],[Auto Renewal]]="yes","Auto","Manual")</f>
        <v>Auto</v>
      </c>
    </row>
    <row r="30" spans="1:17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  <c r="N30" s="18" cm="1">
        <f t="array" ref="N3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45383</v>
      </c>
      <c r="O30" s="18" t="str">
        <f>IF(Tb_Data[[#This Row],[Expiration_date]]&lt;C̳álculos!$I$6,"",Tb_Data[[#This Row],[Expiration_date]])</f>
        <v/>
      </c>
      <c r="P30" s="18">
        <f>DATEVALUE(_xlfn.CONCAT("01/",MONTH(Tb_Data[[#This Row],[Start Date]]),"/",YEAR(Tb_Data[[#This Row],[Start Date]])))</f>
        <v>45352</v>
      </c>
      <c r="Q30" s="8" t="str">
        <f>IF(Tb_Data[[#This Row],[Auto Renewal]]="yes","Auto","Manual")</f>
        <v>Manual</v>
      </c>
    </row>
    <row r="31" spans="1:17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  <c r="N31" s="18" cm="1">
        <f t="array" ref="N3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45444</v>
      </c>
      <c r="O31" s="18" t="str">
        <f>IF(Tb_Data[[#This Row],[Expiration_date]]&lt;C̳álculos!$I$6,"",Tb_Data[[#This Row],[Expiration_date]])</f>
        <v/>
      </c>
      <c r="P31" s="18">
        <f>DATEVALUE(_xlfn.CONCAT("01/",MONTH(Tb_Data[[#This Row],[Start Date]]),"/",YEAR(Tb_Data[[#This Row],[Start Date]])))</f>
        <v>45352</v>
      </c>
      <c r="Q31" s="8" t="str">
        <f>IF(Tb_Data[[#This Row],[Auto Renewal]]="yes","Auto","Manual")</f>
        <v>Auto</v>
      </c>
    </row>
    <row r="32" spans="1:17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  <c r="N32" s="18" cm="1">
        <f t="array" ref="N3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45383</v>
      </c>
      <c r="O32" s="18" t="str">
        <f>IF(Tb_Data[[#This Row],[Expiration_date]]&lt;C̳álculos!$I$6,"",Tb_Data[[#This Row],[Expiration_date]])</f>
        <v/>
      </c>
      <c r="P32" s="18">
        <f>DATEVALUE(_xlfn.CONCAT("01/",MONTH(Tb_Data[[#This Row],[Start Date]]),"/",YEAR(Tb_Data[[#This Row],[Start Date]])))</f>
        <v>45352</v>
      </c>
      <c r="Q32" s="8" t="str">
        <f>IF(Tb_Data[[#This Row],[Auto Renewal]]="yes","Auto","Manual")</f>
        <v>Manual</v>
      </c>
    </row>
    <row r="33" spans="1:17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  <c r="N33" s="18" cm="1">
        <f t="array" ref="N3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45717</v>
      </c>
      <c r="O33" s="18">
        <f>IF(Tb_Data[[#This Row],[Expiration_date]]&lt;C̳álculos!$I$6,"",Tb_Data[[#This Row],[Expiration_date]])</f>
        <v>45717</v>
      </c>
      <c r="P33" s="18">
        <f>DATEVALUE(_xlfn.CONCAT("01/",MONTH(Tb_Data[[#This Row],[Start Date]]),"/",YEAR(Tb_Data[[#This Row],[Start Date]])))</f>
        <v>45352</v>
      </c>
      <c r="Q33" s="8" t="str">
        <f>IF(Tb_Data[[#This Row],[Auto Renewal]]="yes","Auto","Manual")</f>
        <v>Auto</v>
      </c>
    </row>
    <row r="34" spans="1:17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  <c r="N34" s="18" cm="1">
        <f t="array" ref="N3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45383</v>
      </c>
      <c r="O34" s="18" t="str">
        <f>IF(Tb_Data[[#This Row],[Expiration_date]]&lt;C̳álculos!$I$6,"",Tb_Data[[#This Row],[Expiration_date]])</f>
        <v/>
      </c>
      <c r="P34" s="18">
        <f>DATEVALUE(_xlfn.CONCAT("01/",MONTH(Tb_Data[[#This Row],[Start Date]]),"/",YEAR(Tb_Data[[#This Row],[Start Date]])))</f>
        <v>45352</v>
      </c>
      <c r="Q34" s="8" t="str">
        <f>IF(Tb_Data[[#This Row],[Auto Renewal]]="yes","Auto","Manual")</f>
        <v>Manual</v>
      </c>
    </row>
    <row r="35" spans="1:17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  <c r="N35" s="18" cm="1">
        <f t="array" ref="N3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45444</v>
      </c>
      <c r="O35" s="18" t="str">
        <f>IF(Tb_Data[[#This Row],[Expiration_date]]&lt;C̳álculos!$I$6,"",Tb_Data[[#This Row],[Expiration_date]])</f>
        <v/>
      </c>
      <c r="P35" s="18">
        <f>DATEVALUE(_xlfn.CONCAT("01/",MONTH(Tb_Data[[#This Row],[Start Date]]),"/",YEAR(Tb_Data[[#This Row],[Start Date]])))</f>
        <v>45352</v>
      </c>
      <c r="Q35" s="8" t="str">
        <f>IF(Tb_Data[[#This Row],[Auto Renewal]]="yes","Auto","Manual")</f>
        <v>Auto</v>
      </c>
    </row>
    <row r="36" spans="1:17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  <c r="N36" s="18" cm="1">
        <f t="array" ref="N3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45383</v>
      </c>
      <c r="O36" s="18" t="str">
        <f>IF(Tb_Data[[#This Row],[Expiration_date]]&lt;C̳álculos!$I$6,"",Tb_Data[[#This Row],[Expiration_date]])</f>
        <v/>
      </c>
      <c r="P36" s="18">
        <f>DATEVALUE(_xlfn.CONCAT("01/",MONTH(Tb_Data[[#This Row],[Start Date]]),"/",YEAR(Tb_Data[[#This Row],[Start Date]])))</f>
        <v>45352</v>
      </c>
      <c r="Q36" s="8" t="str">
        <f>IF(Tb_Data[[#This Row],[Auto Renewal]]="yes","Auto","Manual")</f>
        <v>Manual</v>
      </c>
    </row>
    <row r="37" spans="1:17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  <c r="N37" s="18" cm="1">
        <f t="array" ref="N3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45413</v>
      </c>
      <c r="O37" s="18" t="str">
        <f>IF(Tb_Data[[#This Row],[Expiration_date]]&lt;C̳álculos!$I$6,"",Tb_Data[[#This Row],[Expiration_date]])</f>
        <v/>
      </c>
      <c r="P37" s="18">
        <f>DATEVALUE(_xlfn.CONCAT("01/",MONTH(Tb_Data[[#This Row],[Start Date]]),"/",YEAR(Tb_Data[[#This Row],[Start Date]])))</f>
        <v>45383</v>
      </c>
      <c r="Q37" s="8" t="str">
        <f>IF(Tb_Data[[#This Row],[Auto Renewal]]="yes","Auto","Manual")</f>
        <v>Auto</v>
      </c>
    </row>
    <row r="38" spans="1:17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  <c r="N38" s="18" cm="1">
        <f t="array" ref="N3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38" s="18" t="str">
        <f>IF(Tb_Data[[#This Row],[Expiration_date]]&lt;C̳álculos!$I$6,"",Tb_Data[[#This Row],[Expiration_date]])</f>
        <v/>
      </c>
      <c r="P38" s="18">
        <f>DATEVALUE(_xlfn.CONCAT("01/",MONTH(Tb_Data[[#This Row],[Start Date]]),"/",YEAR(Tb_Data[[#This Row],[Start Date]])))</f>
        <v>45383</v>
      </c>
      <c r="Q38" s="8" t="str">
        <f>IF(Tb_Data[[#This Row],[Auto Renewal]]="yes","Auto","Manual")</f>
        <v>Manual</v>
      </c>
    </row>
    <row r="39" spans="1:17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  <c r="N39" s="18" cm="1">
        <f t="array" ref="N3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45748</v>
      </c>
      <c r="O39" s="18">
        <f>IF(Tb_Data[[#This Row],[Expiration_date]]&lt;C̳álculos!$I$6,"",Tb_Data[[#This Row],[Expiration_date]])</f>
        <v>45748</v>
      </c>
      <c r="P39" s="18">
        <f>DATEVALUE(_xlfn.CONCAT("01/",MONTH(Tb_Data[[#This Row],[Start Date]]),"/",YEAR(Tb_Data[[#This Row],[Start Date]])))</f>
        <v>45383</v>
      </c>
      <c r="Q39" s="8" t="str">
        <f>IF(Tb_Data[[#This Row],[Auto Renewal]]="yes","Auto","Manual")</f>
        <v>Auto</v>
      </c>
    </row>
    <row r="40" spans="1:17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  <c r="N40" s="18" cm="1">
        <f t="array" ref="N4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40" s="18" t="str">
        <f>IF(Tb_Data[[#This Row],[Expiration_date]]&lt;C̳álculos!$I$6,"",Tb_Data[[#This Row],[Expiration_date]])</f>
        <v/>
      </c>
      <c r="P40" s="18">
        <f>DATEVALUE(_xlfn.CONCAT("01/",MONTH(Tb_Data[[#This Row],[Start Date]]),"/",YEAR(Tb_Data[[#This Row],[Start Date]])))</f>
        <v>45383</v>
      </c>
      <c r="Q40" s="8" t="str">
        <f>IF(Tb_Data[[#This Row],[Auto Renewal]]="yes","Auto","Manual")</f>
        <v>Manual</v>
      </c>
    </row>
    <row r="41" spans="1:17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  <c r="N41" s="18" cm="1">
        <f t="array" ref="N4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45413</v>
      </c>
      <c r="O41" s="18" t="str">
        <f>IF(Tb_Data[[#This Row],[Expiration_date]]&lt;C̳álculos!$I$6,"",Tb_Data[[#This Row],[Expiration_date]])</f>
        <v/>
      </c>
      <c r="P41" s="18">
        <f>DATEVALUE(_xlfn.CONCAT("01/",MONTH(Tb_Data[[#This Row],[Start Date]]),"/",YEAR(Tb_Data[[#This Row],[Start Date]])))</f>
        <v>45383</v>
      </c>
      <c r="Q41" s="8" t="str">
        <f>IF(Tb_Data[[#This Row],[Auto Renewal]]="yes","Auto","Manual")</f>
        <v>Auto</v>
      </c>
    </row>
    <row r="42" spans="1:17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  <c r="N42" s="18" cm="1">
        <f t="array" ref="N4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45413</v>
      </c>
      <c r="O42" s="18" t="str">
        <f>IF(Tb_Data[[#This Row],[Expiration_date]]&lt;C̳álculos!$I$6,"",Tb_Data[[#This Row],[Expiration_date]])</f>
        <v/>
      </c>
      <c r="P42" s="18">
        <f>DATEVALUE(_xlfn.CONCAT("01/",MONTH(Tb_Data[[#This Row],[Start Date]]),"/",YEAR(Tb_Data[[#This Row],[Start Date]])))</f>
        <v>45383</v>
      </c>
      <c r="Q42" s="8" t="str">
        <f>IF(Tb_Data[[#This Row],[Auto Renewal]]="yes","Auto","Manual")</f>
        <v>Manual</v>
      </c>
    </row>
    <row r="43" spans="1:17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  <c r="N43" s="18" cm="1">
        <f t="array" ref="N4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45748</v>
      </c>
      <c r="O43" s="18">
        <f>IF(Tb_Data[[#This Row],[Expiration_date]]&lt;C̳álculos!$I$6,"",Tb_Data[[#This Row],[Expiration_date]])</f>
        <v>45748</v>
      </c>
      <c r="P43" s="18">
        <f>DATEVALUE(_xlfn.CONCAT("01/",MONTH(Tb_Data[[#This Row],[Start Date]]),"/",YEAR(Tb_Data[[#This Row],[Start Date]])))</f>
        <v>45383</v>
      </c>
      <c r="Q43" s="8" t="str">
        <f>IF(Tb_Data[[#This Row],[Auto Renewal]]="yes","Auto","Manual")</f>
        <v>Auto</v>
      </c>
    </row>
    <row r="44" spans="1:17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  <c r="N44" s="18" cm="1">
        <f t="array" ref="N4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44" s="18" t="str">
        <f>IF(Tb_Data[[#This Row],[Expiration_date]]&lt;C̳álculos!$I$6,"",Tb_Data[[#This Row],[Expiration_date]])</f>
        <v/>
      </c>
      <c r="P44" s="18">
        <f>DATEVALUE(_xlfn.CONCAT("01/",MONTH(Tb_Data[[#This Row],[Start Date]]),"/",YEAR(Tb_Data[[#This Row],[Start Date]])))</f>
        <v>45383</v>
      </c>
      <c r="Q44" s="8" t="str">
        <f>IF(Tb_Data[[#This Row],[Auto Renewal]]="yes","Auto","Manual")</f>
        <v>Manual</v>
      </c>
    </row>
    <row r="45" spans="1:17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  <c r="N45" s="18" cm="1">
        <f t="array" ref="N4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45" s="18" t="str">
        <f>IF(Tb_Data[[#This Row],[Expiration_date]]&lt;C̳álculos!$I$6,"",Tb_Data[[#This Row],[Expiration_date]])</f>
        <v/>
      </c>
      <c r="P45" s="18">
        <f>DATEVALUE(_xlfn.CONCAT("01/",MONTH(Tb_Data[[#This Row],[Start Date]]),"/",YEAR(Tb_Data[[#This Row],[Start Date]])))</f>
        <v>45383</v>
      </c>
      <c r="Q45" s="8" t="str">
        <f>IF(Tb_Data[[#This Row],[Auto Renewal]]="yes","Auto","Manual")</f>
        <v>Auto</v>
      </c>
    </row>
    <row r="46" spans="1:17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  <c r="N46" s="18" cm="1">
        <f t="array" ref="N4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45413</v>
      </c>
      <c r="O46" s="18" t="str">
        <f>IF(Tb_Data[[#This Row],[Expiration_date]]&lt;C̳álculos!$I$6,"",Tb_Data[[#This Row],[Expiration_date]])</f>
        <v/>
      </c>
      <c r="P46" s="18">
        <f>DATEVALUE(_xlfn.CONCAT("01/",MONTH(Tb_Data[[#This Row],[Start Date]]),"/",YEAR(Tb_Data[[#This Row],[Start Date]])))</f>
        <v>45383</v>
      </c>
      <c r="Q46" s="8" t="str">
        <f>IF(Tb_Data[[#This Row],[Auto Renewal]]="yes","Auto","Manual")</f>
        <v>Manual</v>
      </c>
    </row>
    <row r="47" spans="1:17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  <c r="N47" s="18" cm="1">
        <f t="array" ref="N4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45748</v>
      </c>
      <c r="O47" s="18">
        <f>IF(Tb_Data[[#This Row],[Expiration_date]]&lt;C̳álculos!$I$6,"",Tb_Data[[#This Row],[Expiration_date]])</f>
        <v>45748</v>
      </c>
      <c r="P47" s="18">
        <f>DATEVALUE(_xlfn.CONCAT("01/",MONTH(Tb_Data[[#This Row],[Start Date]]),"/",YEAR(Tb_Data[[#This Row],[Start Date]])))</f>
        <v>45383</v>
      </c>
      <c r="Q47" s="8" t="str">
        <f>IF(Tb_Data[[#This Row],[Auto Renewal]]="yes","Auto","Manual")</f>
        <v>Auto</v>
      </c>
    </row>
    <row r="48" spans="1:17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  <c r="N48" s="18" cm="1">
        <f t="array" ref="N4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45413</v>
      </c>
      <c r="O48" s="18" t="str">
        <f>IF(Tb_Data[[#This Row],[Expiration_date]]&lt;C̳álculos!$I$6,"",Tb_Data[[#This Row],[Expiration_date]])</f>
        <v/>
      </c>
      <c r="P48" s="18">
        <f>DATEVALUE(_xlfn.CONCAT("01/",MONTH(Tb_Data[[#This Row],[Start Date]]),"/",YEAR(Tb_Data[[#This Row],[Start Date]])))</f>
        <v>45383</v>
      </c>
      <c r="Q48" s="8" t="str">
        <f>IF(Tb_Data[[#This Row],[Auto Renewal]]="yes","Auto","Manual")</f>
        <v>Manual</v>
      </c>
    </row>
    <row r="49" spans="1:17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  <c r="N49" s="18" cm="1">
        <f t="array" ref="N4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49" s="18" t="str">
        <f>IF(Tb_Data[[#This Row],[Expiration_date]]&lt;C̳álculos!$I$6,"",Tb_Data[[#This Row],[Expiration_date]])</f>
        <v/>
      </c>
      <c r="P49" s="18">
        <f>DATEVALUE(_xlfn.CONCAT("01/",MONTH(Tb_Data[[#This Row],[Start Date]]),"/",YEAR(Tb_Data[[#This Row],[Start Date]])))</f>
        <v>45383</v>
      </c>
      <c r="Q49" s="8" t="str">
        <f>IF(Tb_Data[[#This Row],[Auto Renewal]]="yes","Auto","Manual")</f>
        <v>Auto</v>
      </c>
    </row>
    <row r="50" spans="1:17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  <c r="N50" s="18" cm="1">
        <f t="array" ref="N5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45413</v>
      </c>
      <c r="O50" s="18" t="str">
        <f>IF(Tb_Data[[#This Row],[Expiration_date]]&lt;C̳álculos!$I$6,"",Tb_Data[[#This Row],[Expiration_date]])</f>
        <v/>
      </c>
      <c r="P50" s="18">
        <f>DATEVALUE(_xlfn.CONCAT("01/",MONTH(Tb_Data[[#This Row],[Start Date]]),"/",YEAR(Tb_Data[[#This Row],[Start Date]])))</f>
        <v>45383</v>
      </c>
      <c r="Q50" s="8" t="str">
        <f>IF(Tb_Data[[#This Row],[Auto Renewal]]="yes","Auto","Manual")</f>
        <v>Manual</v>
      </c>
    </row>
    <row r="51" spans="1:17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  <c r="N51" s="18" cm="1">
        <f t="array" ref="N5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45748</v>
      </c>
      <c r="O51" s="18">
        <f>IF(Tb_Data[[#This Row],[Expiration_date]]&lt;C̳álculos!$I$6,"",Tb_Data[[#This Row],[Expiration_date]])</f>
        <v>45748</v>
      </c>
      <c r="P51" s="18">
        <f>DATEVALUE(_xlfn.CONCAT("01/",MONTH(Tb_Data[[#This Row],[Start Date]]),"/",YEAR(Tb_Data[[#This Row],[Start Date]])))</f>
        <v>45383</v>
      </c>
      <c r="Q51" s="8" t="str">
        <f>IF(Tb_Data[[#This Row],[Auto Renewal]]="yes","Auto","Manual")</f>
        <v>Auto</v>
      </c>
    </row>
    <row r="52" spans="1:17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  <c r="N52" s="18" cm="1">
        <f t="array" ref="N5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45413</v>
      </c>
      <c r="O52" s="18" t="str">
        <f>IF(Tb_Data[[#This Row],[Expiration_date]]&lt;C̳álculos!$I$6,"",Tb_Data[[#This Row],[Expiration_date]])</f>
        <v/>
      </c>
      <c r="P52" s="18">
        <f>DATEVALUE(_xlfn.CONCAT("01/",MONTH(Tb_Data[[#This Row],[Start Date]]),"/",YEAR(Tb_Data[[#This Row],[Start Date]])))</f>
        <v>45383</v>
      </c>
      <c r="Q52" s="8" t="str">
        <f>IF(Tb_Data[[#This Row],[Auto Renewal]]="yes","Auto","Manual")</f>
        <v>Manual</v>
      </c>
    </row>
    <row r="53" spans="1:17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  <c r="N53" s="18" cm="1">
        <f t="array" ref="N5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53" s="18" t="str">
        <f>IF(Tb_Data[[#This Row],[Expiration_date]]&lt;C̳álculos!$I$6,"",Tb_Data[[#This Row],[Expiration_date]])</f>
        <v/>
      </c>
      <c r="P53" s="18">
        <f>DATEVALUE(_xlfn.CONCAT("01/",MONTH(Tb_Data[[#This Row],[Start Date]]),"/",YEAR(Tb_Data[[#This Row],[Start Date]])))</f>
        <v>45383</v>
      </c>
      <c r="Q53" s="8" t="str">
        <f>IF(Tb_Data[[#This Row],[Auto Renewal]]="yes","Auto","Manual")</f>
        <v>Auto</v>
      </c>
    </row>
    <row r="54" spans="1:17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  <c r="N54" s="18" cm="1">
        <f t="array" ref="N5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45413</v>
      </c>
      <c r="O54" s="18" t="str">
        <f>IF(Tb_Data[[#This Row],[Expiration_date]]&lt;C̳álculos!$I$6,"",Tb_Data[[#This Row],[Expiration_date]])</f>
        <v/>
      </c>
      <c r="P54" s="18">
        <f>DATEVALUE(_xlfn.CONCAT("01/",MONTH(Tb_Data[[#This Row],[Start Date]]),"/",YEAR(Tb_Data[[#This Row],[Start Date]])))</f>
        <v>45383</v>
      </c>
      <c r="Q54" s="8" t="str">
        <f>IF(Tb_Data[[#This Row],[Auto Renewal]]="yes","Auto","Manual")</f>
        <v>Manual</v>
      </c>
    </row>
    <row r="55" spans="1:17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  <c r="N55" s="18" cm="1">
        <f t="array" ref="N5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45748</v>
      </c>
      <c r="O55" s="18">
        <f>IF(Tb_Data[[#This Row],[Expiration_date]]&lt;C̳álculos!$I$6,"",Tb_Data[[#This Row],[Expiration_date]])</f>
        <v>45748</v>
      </c>
      <c r="P55" s="18">
        <f>DATEVALUE(_xlfn.CONCAT("01/",MONTH(Tb_Data[[#This Row],[Start Date]]),"/",YEAR(Tb_Data[[#This Row],[Start Date]])))</f>
        <v>45383</v>
      </c>
      <c r="Q55" s="8" t="str">
        <f>IF(Tb_Data[[#This Row],[Auto Renewal]]="yes","Auto","Manual")</f>
        <v>Auto</v>
      </c>
    </row>
    <row r="56" spans="1:17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  <c r="N56" s="18" cm="1">
        <f t="array" ref="N5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45413</v>
      </c>
      <c r="O56" s="18" t="str">
        <f>IF(Tb_Data[[#This Row],[Expiration_date]]&lt;C̳álculos!$I$6,"",Tb_Data[[#This Row],[Expiration_date]])</f>
        <v/>
      </c>
      <c r="P56" s="18">
        <f>DATEVALUE(_xlfn.CONCAT("01/",MONTH(Tb_Data[[#This Row],[Start Date]]),"/",YEAR(Tb_Data[[#This Row],[Start Date]])))</f>
        <v>45383</v>
      </c>
      <c r="Q56" s="8" t="str">
        <f>IF(Tb_Data[[#This Row],[Auto Renewal]]="yes","Auto","Manual")</f>
        <v>Manual</v>
      </c>
    </row>
    <row r="57" spans="1:17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  <c r="N57" s="18" cm="1">
        <f t="array" ref="N5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57" s="18" t="str">
        <f>IF(Tb_Data[[#This Row],[Expiration_date]]&lt;C̳álculos!$I$6,"",Tb_Data[[#This Row],[Expiration_date]])</f>
        <v/>
      </c>
      <c r="P57" s="18">
        <f>DATEVALUE(_xlfn.CONCAT("01/",MONTH(Tb_Data[[#This Row],[Start Date]]),"/",YEAR(Tb_Data[[#This Row],[Start Date]])))</f>
        <v>45383</v>
      </c>
      <c r="Q57" s="8" t="str">
        <f>IF(Tb_Data[[#This Row],[Auto Renewal]]="yes","Auto","Manual")</f>
        <v>Auto</v>
      </c>
    </row>
    <row r="58" spans="1:17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  <c r="N58" s="18" cm="1">
        <f t="array" ref="N5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45413</v>
      </c>
      <c r="O58" s="18" t="str">
        <f>IF(Tb_Data[[#This Row],[Expiration_date]]&lt;C̳álculos!$I$6,"",Tb_Data[[#This Row],[Expiration_date]])</f>
        <v/>
      </c>
      <c r="P58" s="18">
        <f>DATEVALUE(_xlfn.CONCAT("01/",MONTH(Tb_Data[[#This Row],[Start Date]]),"/",YEAR(Tb_Data[[#This Row],[Start Date]])))</f>
        <v>45383</v>
      </c>
      <c r="Q58" s="8" t="str">
        <f>IF(Tb_Data[[#This Row],[Auto Renewal]]="yes","Auto","Manual")</f>
        <v>Manual</v>
      </c>
    </row>
    <row r="59" spans="1:17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  <c r="N59" s="18" cm="1">
        <f t="array" ref="N5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45748</v>
      </c>
      <c r="O59" s="18">
        <f>IF(Tb_Data[[#This Row],[Expiration_date]]&lt;C̳álculos!$I$6,"",Tb_Data[[#This Row],[Expiration_date]])</f>
        <v>45748</v>
      </c>
      <c r="P59" s="18">
        <f>DATEVALUE(_xlfn.CONCAT("01/",MONTH(Tb_Data[[#This Row],[Start Date]]),"/",YEAR(Tb_Data[[#This Row],[Start Date]])))</f>
        <v>45383</v>
      </c>
      <c r="Q59" s="8" t="str">
        <f>IF(Tb_Data[[#This Row],[Auto Renewal]]="yes","Auto","Manual")</f>
        <v>Auto</v>
      </c>
    </row>
    <row r="60" spans="1:17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  <c r="N60" s="18" cm="1">
        <f t="array" ref="N6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45413</v>
      </c>
      <c r="O60" s="18" t="str">
        <f>IF(Tb_Data[[#This Row],[Expiration_date]]&lt;C̳álculos!$I$6,"",Tb_Data[[#This Row],[Expiration_date]])</f>
        <v/>
      </c>
      <c r="P60" s="18">
        <f>DATEVALUE(_xlfn.CONCAT("01/",MONTH(Tb_Data[[#This Row],[Start Date]]),"/",YEAR(Tb_Data[[#This Row],[Start Date]])))</f>
        <v>45383</v>
      </c>
      <c r="Q60" s="8" t="str">
        <f>IF(Tb_Data[[#This Row],[Auto Renewal]]="yes","Auto","Manual")</f>
        <v>Manual</v>
      </c>
    </row>
    <row r="61" spans="1:17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  <c r="N61" s="18" cm="1">
        <f t="array" ref="N6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61" s="18" t="str">
        <f>IF(Tb_Data[[#This Row],[Expiration_date]]&lt;C̳álculos!$I$6,"",Tb_Data[[#This Row],[Expiration_date]])</f>
        <v/>
      </c>
      <c r="P61" s="18">
        <f>DATEVALUE(_xlfn.CONCAT("01/",MONTH(Tb_Data[[#This Row],[Start Date]]),"/",YEAR(Tb_Data[[#This Row],[Start Date]])))</f>
        <v>45383</v>
      </c>
      <c r="Q61" s="8" t="str">
        <f>IF(Tb_Data[[#This Row],[Auto Renewal]]="yes","Auto","Manual")</f>
        <v>Auto</v>
      </c>
    </row>
    <row r="62" spans="1:17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  <c r="N62" s="18" cm="1">
        <f t="array" ref="N6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45413</v>
      </c>
      <c r="O62" s="18" t="str">
        <f>IF(Tb_Data[[#This Row],[Expiration_date]]&lt;C̳álculos!$I$6,"",Tb_Data[[#This Row],[Expiration_date]])</f>
        <v/>
      </c>
      <c r="P62" s="18">
        <f>DATEVALUE(_xlfn.CONCAT("01/",MONTH(Tb_Data[[#This Row],[Start Date]]),"/",YEAR(Tb_Data[[#This Row],[Start Date]])))</f>
        <v>45383</v>
      </c>
      <c r="Q62" s="8" t="str">
        <f>IF(Tb_Data[[#This Row],[Auto Renewal]]="yes","Auto","Manual")</f>
        <v>Manual</v>
      </c>
    </row>
    <row r="63" spans="1:17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  <c r="N63" s="18" cm="1">
        <f t="array" ref="N6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45748</v>
      </c>
      <c r="O63" s="18">
        <f>IF(Tb_Data[[#This Row],[Expiration_date]]&lt;C̳álculos!$I$6,"",Tb_Data[[#This Row],[Expiration_date]])</f>
        <v>45748</v>
      </c>
      <c r="P63" s="18">
        <f>DATEVALUE(_xlfn.CONCAT("01/",MONTH(Tb_Data[[#This Row],[Start Date]]),"/",YEAR(Tb_Data[[#This Row],[Start Date]])))</f>
        <v>45383</v>
      </c>
      <c r="Q63" s="8" t="str">
        <f>IF(Tb_Data[[#This Row],[Auto Renewal]]="yes","Auto","Manual")</f>
        <v>Auto</v>
      </c>
    </row>
    <row r="64" spans="1:17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  <c r="N64" s="18" cm="1">
        <f t="array" ref="N6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45413</v>
      </c>
      <c r="O64" s="18" t="str">
        <f>IF(Tb_Data[[#This Row],[Expiration_date]]&lt;C̳álculos!$I$6,"",Tb_Data[[#This Row],[Expiration_date]])</f>
        <v/>
      </c>
      <c r="P64" s="18">
        <f>DATEVALUE(_xlfn.CONCAT("01/",MONTH(Tb_Data[[#This Row],[Start Date]]),"/",YEAR(Tb_Data[[#This Row],[Start Date]])))</f>
        <v>45383</v>
      </c>
      <c r="Q64" s="8" t="str">
        <f>IF(Tb_Data[[#This Row],[Auto Renewal]]="yes","Auto","Manual")</f>
        <v>Manual</v>
      </c>
    </row>
    <row r="65" spans="1:17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  <c r="N65" s="18" cm="1">
        <f t="array" ref="N6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65" s="18" t="str">
        <f>IF(Tb_Data[[#This Row],[Expiration_date]]&lt;C̳álculos!$I$6,"",Tb_Data[[#This Row],[Expiration_date]])</f>
        <v/>
      </c>
      <c r="P65" s="18">
        <f>DATEVALUE(_xlfn.CONCAT("01/",MONTH(Tb_Data[[#This Row],[Start Date]]),"/",YEAR(Tb_Data[[#This Row],[Start Date]])))</f>
        <v>45383</v>
      </c>
      <c r="Q65" s="8" t="str">
        <f>IF(Tb_Data[[#This Row],[Auto Renewal]]="yes","Auto","Manual")</f>
        <v>Auto</v>
      </c>
    </row>
    <row r="66" spans="1:17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  <c r="N66" s="18" cm="1">
        <f t="array" ref="N6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45413</v>
      </c>
      <c r="O66" s="18" t="str">
        <f>IF(Tb_Data[[#This Row],[Expiration_date]]&lt;C̳álculos!$I$6,"",Tb_Data[[#This Row],[Expiration_date]])</f>
        <v/>
      </c>
      <c r="P66" s="18">
        <f>DATEVALUE(_xlfn.CONCAT("01/",MONTH(Tb_Data[[#This Row],[Start Date]]),"/",YEAR(Tb_Data[[#This Row],[Start Date]])))</f>
        <v>45383</v>
      </c>
      <c r="Q66" s="8" t="str">
        <f>IF(Tb_Data[[#This Row],[Auto Renewal]]="yes","Auto","Manual")</f>
        <v>Manual</v>
      </c>
    </row>
    <row r="67" spans="1:17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  <c r="N67" s="18" cm="1">
        <f t="array" ref="N6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45444</v>
      </c>
      <c r="O67" s="18" t="str">
        <f>IF(Tb_Data[[#This Row],[Expiration_date]]&lt;C̳álculos!$I$6,"",Tb_Data[[#This Row],[Expiration_date]])</f>
        <v/>
      </c>
      <c r="P67" s="18">
        <f>DATEVALUE(_xlfn.CONCAT("01/",MONTH(Tb_Data[[#This Row],[Start Date]]),"/",YEAR(Tb_Data[[#This Row],[Start Date]])))</f>
        <v>45413</v>
      </c>
      <c r="Q67" s="8" t="str">
        <f>IF(Tb_Data[[#This Row],[Auto Renewal]]="yes","Auto","Manual")</f>
        <v>Manual</v>
      </c>
    </row>
    <row r="68" spans="1:17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  <c r="N68" s="18" cm="1">
        <f t="array" ref="N6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68" s="18" t="str">
        <f>IF(Tb_Data[[#This Row],[Expiration_date]]&lt;C̳álculos!$I$6,"",Tb_Data[[#This Row],[Expiration_date]])</f>
        <v/>
      </c>
      <c r="P68" s="18">
        <f>DATEVALUE(_xlfn.CONCAT("01/",MONTH(Tb_Data[[#This Row],[Start Date]]),"/",YEAR(Tb_Data[[#This Row],[Start Date]])))</f>
        <v>45413</v>
      </c>
      <c r="Q68" s="8" t="str">
        <f>IF(Tb_Data[[#This Row],[Auto Renewal]]="yes","Auto","Manual")</f>
        <v>Auto</v>
      </c>
    </row>
    <row r="69" spans="1:17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  <c r="N69" s="18" cm="1">
        <f t="array" ref="N6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45778</v>
      </c>
      <c r="O69" s="18">
        <f>IF(Tb_Data[[#This Row],[Expiration_date]]&lt;C̳álculos!$I$6,"",Tb_Data[[#This Row],[Expiration_date]])</f>
        <v>45778</v>
      </c>
      <c r="P69" s="18">
        <f>DATEVALUE(_xlfn.CONCAT("01/",MONTH(Tb_Data[[#This Row],[Start Date]]),"/",YEAR(Tb_Data[[#This Row],[Start Date]])))</f>
        <v>45413</v>
      </c>
      <c r="Q69" s="8" t="str">
        <f>IF(Tb_Data[[#This Row],[Auto Renewal]]="yes","Auto","Manual")</f>
        <v>Manual</v>
      </c>
    </row>
    <row r="70" spans="1:17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  <c r="N70" s="18" cm="1">
        <f t="array" ref="N7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70" s="18" t="str">
        <f>IF(Tb_Data[[#This Row],[Expiration_date]]&lt;C̳álculos!$I$6,"",Tb_Data[[#This Row],[Expiration_date]])</f>
        <v/>
      </c>
      <c r="P70" s="18">
        <f>DATEVALUE(_xlfn.CONCAT("01/",MONTH(Tb_Data[[#This Row],[Start Date]]),"/",YEAR(Tb_Data[[#This Row],[Start Date]])))</f>
        <v>45413</v>
      </c>
      <c r="Q70" s="8" t="str">
        <f>IF(Tb_Data[[#This Row],[Auto Renewal]]="yes","Auto","Manual")</f>
        <v>Auto</v>
      </c>
    </row>
    <row r="71" spans="1:17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  <c r="N71" s="18" cm="1">
        <f t="array" ref="N7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45444</v>
      </c>
      <c r="O71" s="18" t="str">
        <f>IF(Tb_Data[[#This Row],[Expiration_date]]&lt;C̳álculos!$I$6,"",Tb_Data[[#This Row],[Expiration_date]])</f>
        <v/>
      </c>
      <c r="P71" s="18">
        <f>DATEVALUE(_xlfn.CONCAT("01/",MONTH(Tb_Data[[#This Row],[Start Date]]),"/",YEAR(Tb_Data[[#This Row],[Start Date]])))</f>
        <v>45413</v>
      </c>
      <c r="Q71" s="8" t="str">
        <f>IF(Tb_Data[[#This Row],[Auto Renewal]]="yes","Auto","Manual")</f>
        <v>Manual</v>
      </c>
    </row>
    <row r="72" spans="1:17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  <c r="N72" s="18" cm="1">
        <f t="array" ref="N7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45444</v>
      </c>
      <c r="O72" s="18" t="str">
        <f>IF(Tb_Data[[#This Row],[Expiration_date]]&lt;C̳álculos!$I$6,"",Tb_Data[[#This Row],[Expiration_date]])</f>
        <v/>
      </c>
      <c r="P72" s="18">
        <f>DATEVALUE(_xlfn.CONCAT("01/",MONTH(Tb_Data[[#This Row],[Start Date]]),"/",YEAR(Tb_Data[[#This Row],[Start Date]])))</f>
        <v>45413</v>
      </c>
      <c r="Q72" s="8" t="str">
        <f>IF(Tb_Data[[#This Row],[Auto Renewal]]="yes","Auto","Manual")</f>
        <v>Auto</v>
      </c>
    </row>
    <row r="73" spans="1:17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  <c r="N73" s="18" cm="1">
        <f t="array" ref="N7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45778</v>
      </c>
      <c r="O73" s="18">
        <f>IF(Tb_Data[[#This Row],[Expiration_date]]&lt;C̳álculos!$I$6,"",Tb_Data[[#This Row],[Expiration_date]])</f>
        <v>45778</v>
      </c>
      <c r="P73" s="18">
        <f>DATEVALUE(_xlfn.CONCAT("01/",MONTH(Tb_Data[[#This Row],[Start Date]]),"/",YEAR(Tb_Data[[#This Row],[Start Date]])))</f>
        <v>45413</v>
      </c>
      <c r="Q73" s="8" t="str">
        <f>IF(Tb_Data[[#This Row],[Auto Renewal]]="yes","Auto","Manual")</f>
        <v>Manual</v>
      </c>
    </row>
    <row r="74" spans="1:17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  <c r="N74" s="18" cm="1">
        <f t="array" ref="N7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74" s="18" t="str">
        <f>IF(Tb_Data[[#This Row],[Expiration_date]]&lt;C̳álculos!$I$6,"",Tb_Data[[#This Row],[Expiration_date]])</f>
        <v/>
      </c>
      <c r="P74" s="18">
        <f>DATEVALUE(_xlfn.CONCAT("01/",MONTH(Tb_Data[[#This Row],[Start Date]]),"/",YEAR(Tb_Data[[#This Row],[Start Date]])))</f>
        <v>45413</v>
      </c>
      <c r="Q74" s="8" t="str">
        <f>IF(Tb_Data[[#This Row],[Auto Renewal]]="yes","Auto","Manual")</f>
        <v>Auto</v>
      </c>
    </row>
    <row r="75" spans="1:17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  <c r="N75" s="18" cm="1">
        <f t="array" ref="N7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75" s="18" t="str">
        <f>IF(Tb_Data[[#This Row],[Expiration_date]]&lt;C̳álculos!$I$6,"",Tb_Data[[#This Row],[Expiration_date]])</f>
        <v/>
      </c>
      <c r="P75" s="18">
        <f>DATEVALUE(_xlfn.CONCAT("01/",MONTH(Tb_Data[[#This Row],[Start Date]]),"/",YEAR(Tb_Data[[#This Row],[Start Date]])))</f>
        <v>45413</v>
      </c>
      <c r="Q75" s="8" t="str">
        <f>IF(Tb_Data[[#This Row],[Auto Renewal]]="yes","Auto","Manual")</f>
        <v>Manual</v>
      </c>
    </row>
    <row r="76" spans="1:17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  <c r="N76" s="18" cm="1">
        <f t="array" ref="N7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45444</v>
      </c>
      <c r="O76" s="18" t="str">
        <f>IF(Tb_Data[[#This Row],[Expiration_date]]&lt;C̳álculos!$I$6,"",Tb_Data[[#This Row],[Expiration_date]])</f>
        <v/>
      </c>
      <c r="P76" s="18">
        <f>DATEVALUE(_xlfn.CONCAT("01/",MONTH(Tb_Data[[#This Row],[Start Date]]),"/",YEAR(Tb_Data[[#This Row],[Start Date]])))</f>
        <v>45413</v>
      </c>
      <c r="Q76" s="8" t="str">
        <f>IF(Tb_Data[[#This Row],[Auto Renewal]]="yes","Auto","Manual")</f>
        <v>Auto</v>
      </c>
    </row>
    <row r="77" spans="1:17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  <c r="N77" s="18" cm="1">
        <f t="array" ref="N7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45778</v>
      </c>
      <c r="O77" s="18">
        <f>IF(Tb_Data[[#This Row],[Expiration_date]]&lt;C̳álculos!$I$6,"",Tb_Data[[#This Row],[Expiration_date]])</f>
        <v>45778</v>
      </c>
      <c r="P77" s="18">
        <f>DATEVALUE(_xlfn.CONCAT("01/",MONTH(Tb_Data[[#This Row],[Start Date]]),"/",YEAR(Tb_Data[[#This Row],[Start Date]])))</f>
        <v>45413</v>
      </c>
      <c r="Q77" s="8" t="str">
        <f>IF(Tb_Data[[#This Row],[Auto Renewal]]="yes","Auto","Manual")</f>
        <v>Manual</v>
      </c>
    </row>
    <row r="78" spans="1:17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  <c r="N78" s="18" cm="1">
        <f t="array" ref="N7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45444</v>
      </c>
      <c r="O78" s="18" t="str">
        <f>IF(Tb_Data[[#This Row],[Expiration_date]]&lt;C̳álculos!$I$6,"",Tb_Data[[#This Row],[Expiration_date]])</f>
        <v/>
      </c>
      <c r="P78" s="18">
        <f>DATEVALUE(_xlfn.CONCAT("01/",MONTH(Tb_Data[[#This Row],[Start Date]]),"/",YEAR(Tb_Data[[#This Row],[Start Date]])))</f>
        <v>45413</v>
      </c>
      <c r="Q78" s="8" t="str">
        <f>IF(Tb_Data[[#This Row],[Auto Renewal]]="yes","Auto","Manual")</f>
        <v>Auto</v>
      </c>
    </row>
    <row r="79" spans="1:17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  <c r="N79" s="18" cm="1">
        <f t="array" ref="N7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79" s="18" t="str">
        <f>IF(Tb_Data[[#This Row],[Expiration_date]]&lt;C̳álculos!$I$6,"",Tb_Data[[#This Row],[Expiration_date]])</f>
        <v/>
      </c>
      <c r="P79" s="18">
        <f>DATEVALUE(_xlfn.CONCAT("01/",MONTH(Tb_Data[[#This Row],[Start Date]]),"/",YEAR(Tb_Data[[#This Row],[Start Date]])))</f>
        <v>45413</v>
      </c>
      <c r="Q79" s="8" t="str">
        <f>IF(Tb_Data[[#This Row],[Auto Renewal]]="yes","Auto","Manual")</f>
        <v>Manual</v>
      </c>
    </row>
    <row r="80" spans="1:17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  <c r="N80" s="18" cm="1">
        <f t="array" ref="N8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45444</v>
      </c>
      <c r="O80" s="18" t="str">
        <f>IF(Tb_Data[[#This Row],[Expiration_date]]&lt;C̳álculos!$I$6,"",Tb_Data[[#This Row],[Expiration_date]])</f>
        <v/>
      </c>
      <c r="P80" s="18">
        <f>DATEVALUE(_xlfn.CONCAT("01/",MONTH(Tb_Data[[#This Row],[Start Date]]),"/",YEAR(Tb_Data[[#This Row],[Start Date]])))</f>
        <v>45413</v>
      </c>
      <c r="Q80" s="8" t="str">
        <f>IF(Tb_Data[[#This Row],[Auto Renewal]]="yes","Auto","Manual")</f>
        <v>Auto</v>
      </c>
    </row>
    <row r="81" spans="1:17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  <c r="N81" s="18" cm="1">
        <f t="array" ref="N8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45778</v>
      </c>
      <c r="O81" s="18">
        <f>IF(Tb_Data[[#This Row],[Expiration_date]]&lt;C̳álculos!$I$6,"",Tb_Data[[#This Row],[Expiration_date]])</f>
        <v>45778</v>
      </c>
      <c r="P81" s="18">
        <f>DATEVALUE(_xlfn.CONCAT("01/",MONTH(Tb_Data[[#This Row],[Start Date]]),"/",YEAR(Tb_Data[[#This Row],[Start Date]])))</f>
        <v>45413</v>
      </c>
      <c r="Q81" s="8" t="str">
        <f>IF(Tb_Data[[#This Row],[Auto Renewal]]="yes","Auto","Manual")</f>
        <v>Manual</v>
      </c>
    </row>
    <row r="82" spans="1:17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  <c r="N82" s="18" cm="1">
        <f t="array" ref="N8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45444</v>
      </c>
      <c r="O82" s="18" t="str">
        <f>IF(Tb_Data[[#This Row],[Expiration_date]]&lt;C̳álculos!$I$6,"",Tb_Data[[#This Row],[Expiration_date]])</f>
        <v/>
      </c>
      <c r="P82" s="18">
        <f>DATEVALUE(_xlfn.CONCAT("01/",MONTH(Tb_Data[[#This Row],[Start Date]]),"/",YEAR(Tb_Data[[#This Row],[Start Date]])))</f>
        <v>45413</v>
      </c>
      <c r="Q82" s="8" t="str">
        <f>IF(Tb_Data[[#This Row],[Auto Renewal]]="yes","Auto","Manual")</f>
        <v>Auto</v>
      </c>
    </row>
    <row r="83" spans="1:17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  <c r="N83" s="18" cm="1">
        <f t="array" ref="N8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83" s="18" t="str">
        <f>IF(Tb_Data[[#This Row],[Expiration_date]]&lt;C̳álculos!$I$6,"",Tb_Data[[#This Row],[Expiration_date]])</f>
        <v/>
      </c>
      <c r="P83" s="18">
        <f>DATEVALUE(_xlfn.CONCAT("01/",MONTH(Tb_Data[[#This Row],[Start Date]]),"/",YEAR(Tb_Data[[#This Row],[Start Date]])))</f>
        <v>45413</v>
      </c>
      <c r="Q83" s="8" t="str">
        <f>IF(Tb_Data[[#This Row],[Auto Renewal]]="yes","Auto","Manual")</f>
        <v>Manual</v>
      </c>
    </row>
    <row r="84" spans="1:17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  <c r="N84" s="18" cm="1">
        <f t="array" ref="N8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45444</v>
      </c>
      <c r="O84" s="18" t="str">
        <f>IF(Tb_Data[[#This Row],[Expiration_date]]&lt;C̳álculos!$I$6,"",Tb_Data[[#This Row],[Expiration_date]])</f>
        <v/>
      </c>
      <c r="P84" s="18">
        <f>DATEVALUE(_xlfn.CONCAT("01/",MONTH(Tb_Data[[#This Row],[Start Date]]),"/",YEAR(Tb_Data[[#This Row],[Start Date]])))</f>
        <v>45413</v>
      </c>
      <c r="Q84" s="8" t="str">
        <f>IF(Tb_Data[[#This Row],[Auto Renewal]]="yes","Auto","Manual")</f>
        <v>Auto</v>
      </c>
    </row>
    <row r="85" spans="1:17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  <c r="N85" s="18" cm="1">
        <f t="array" ref="N8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45778</v>
      </c>
      <c r="O85" s="18">
        <f>IF(Tb_Data[[#This Row],[Expiration_date]]&lt;C̳álculos!$I$6,"",Tb_Data[[#This Row],[Expiration_date]])</f>
        <v>45778</v>
      </c>
      <c r="P85" s="18">
        <f>DATEVALUE(_xlfn.CONCAT("01/",MONTH(Tb_Data[[#This Row],[Start Date]]),"/",YEAR(Tb_Data[[#This Row],[Start Date]])))</f>
        <v>45413</v>
      </c>
      <c r="Q85" s="8" t="str">
        <f>IF(Tb_Data[[#This Row],[Auto Renewal]]="yes","Auto","Manual")</f>
        <v>Manual</v>
      </c>
    </row>
    <row r="86" spans="1:17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  <c r="N86" s="18" cm="1">
        <f t="array" ref="N8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45444</v>
      </c>
      <c r="O86" s="18" t="str">
        <f>IF(Tb_Data[[#This Row],[Expiration_date]]&lt;C̳álculos!$I$6,"",Tb_Data[[#This Row],[Expiration_date]])</f>
        <v/>
      </c>
      <c r="P86" s="18">
        <f>DATEVALUE(_xlfn.CONCAT("01/",MONTH(Tb_Data[[#This Row],[Start Date]]),"/",YEAR(Tb_Data[[#This Row],[Start Date]])))</f>
        <v>45413</v>
      </c>
      <c r="Q86" s="8" t="str">
        <f>IF(Tb_Data[[#This Row],[Auto Renewal]]="yes","Auto","Manual")</f>
        <v>Auto</v>
      </c>
    </row>
    <row r="87" spans="1:17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  <c r="N87" s="18" cm="1">
        <f t="array" ref="N8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87" s="18" t="str">
        <f>IF(Tb_Data[[#This Row],[Expiration_date]]&lt;C̳álculos!$I$6,"",Tb_Data[[#This Row],[Expiration_date]])</f>
        <v/>
      </c>
      <c r="P87" s="18">
        <f>DATEVALUE(_xlfn.CONCAT("01/",MONTH(Tb_Data[[#This Row],[Start Date]]),"/",YEAR(Tb_Data[[#This Row],[Start Date]])))</f>
        <v>45413</v>
      </c>
      <c r="Q87" s="8" t="str">
        <f>IF(Tb_Data[[#This Row],[Auto Renewal]]="yes","Auto","Manual")</f>
        <v>Manual</v>
      </c>
    </row>
    <row r="88" spans="1:17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  <c r="N88" s="18" cm="1">
        <f t="array" ref="N8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45444</v>
      </c>
      <c r="O88" s="18" t="str">
        <f>IF(Tb_Data[[#This Row],[Expiration_date]]&lt;C̳álculos!$I$6,"",Tb_Data[[#This Row],[Expiration_date]])</f>
        <v/>
      </c>
      <c r="P88" s="18">
        <f>DATEVALUE(_xlfn.CONCAT("01/",MONTH(Tb_Data[[#This Row],[Start Date]]),"/",YEAR(Tb_Data[[#This Row],[Start Date]])))</f>
        <v>45413</v>
      </c>
      <c r="Q88" s="8" t="str">
        <f>IF(Tb_Data[[#This Row],[Auto Renewal]]="yes","Auto","Manual")</f>
        <v>Auto</v>
      </c>
    </row>
    <row r="89" spans="1:17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  <c r="N89" s="18" cm="1">
        <f t="array" ref="N8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45778</v>
      </c>
      <c r="O89" s="18">
        <f>IF(Tb_Data[[#This Row],[Expiration_date]]&lt;C̳álculos!$I$6,"",Tb_Data[[#This Row],[Expiration_date]])</f>
        <v>45778</v>
      </c>
      <c r="P89" s="18">
        <f>DATEVALUE(_xlfn.CONCAT("01/",MONTH(Tb_Data[[#This Row],[Start Date]]),"/",YEAR(Tb_Data[[#This Row],[Start Date]])))</f>
        <v>45413</v>
      </c>
      <c r="Q89" s="8" t="str">
        <f>IF(Tb_Data[[#This Row],[Auto Renewal]]="yes","Auto","Manual")</f>
        <v>Manual</v>
      </c>
    </row>
    <row r="90" spans="1:17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  <c r="N90" s="18" cm="1">
        <f t="array" ref="N9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45444</v>
      </c>
      <c r="O90" s="18" t="str">
        <f>IF(Tb_Data[[#This Row],[Expiration_date]]&lt;C̳álculos!$I$6,"",Tb_Data[[#This Row],[Expiration_date]])</f>
        <v/>
      </c>
      <c r="P90" s="18">
        <f>DATEVALUE(_xlfn.CONCAT("01/",MONTH(Tb_Data[[#This Row],[Start Date]]),"/",YEAR(Tb_Data[[#This Row],[Start Date]])))</f>
        <v>45413</v>
      </c>
      <c r="Q90" s="8" t="str">
        <f>IF(Tb_Data[[#This Row],[Auto Renewal]]="yes","Auto","Manual")</f>
        <v>Auto</v>
      </c>
    </row>
    <row r="91" spans="1:17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  <c r="N91" s="18" cm="1">
        <f t="array" ref="N9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91" s="18" t="str">
        <f>IF(Tb_Data[[#This Row],[Expiration_date]]&lt;C̳álculos!$I$6,"",Tb_Data[[#This Row],[Expiration_date]])</f>
        <v/>
      </c>
      <c r="P91" s="18">
        <f>DATEVALUE(_xlfn.CONCAT("01/",MONTH(Tb_Data[[#This Row],[Start Date]]),"/",YEAR(Tb_Data[[#This Row],[Start Date]])))</f>
        <v>45413</v>
      </c>
      <c r="Q91" s="8" t="str">
        <f>IF(Tb_Data[[#This Row],[Auto Renewal]]="yes","Auto","Manual")</f>
        <v>Manual</v>
      </c>
    </row>
    <row r="92" spans="1:17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  <c r="N92" s="18" cm="1">
        <f t="array" ref="N9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45444</v>
      </c>
      <c r="O92" s="18" t="str">
        <f>IF(Tb_Data[[#This Row],[Expiration_date]]&lt;C̳álculos!$I$6,"",Tb_Data[[#This Row],[Expiration_date]])</f>
        <v/>
      </c>
      <c r="P92" s="18">
        <f>DATEVALUE(_xlfn.CONCAT("01/",MONTH(Tb_Data[[#This Row],[Start Date]]),"/",YEAR(Tb_Data[[#This Row],[Start Date]])))</f>
        <v>45413</v>
      </c>
      <c r="Q92" s="8" t="str">
        <f>IF(Tb_Data[[#This Row],[Auto Renewal]]="yes","Auto","Manual")</f>
        <v>Auto</v>
      </c>
    </row>
    <row r="93" spans="1:17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  <c r="N93" s="18" cm="1">
        <f t="array" ref="N9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45778</v>
      </c>
      <c r="O93" s="18">
        <f>IF(Tb_Data[[#This Row],[Expiration_date]]&lt;C̳álculos!$I$6,"",Tb_Data[[#This Row],[Expiration_date]])</f>
        <v>45778</v>
      </c>
      <c r="P93" s="18">
        <f>DATEVALUE(_xlfn.CONCAT("01/",MONTH(Tb_Data[[#This Row],[Start Date]]),"/",YEAR(Tb_Data[[#This Row],[Start Date]])))</f>
        <v>45413</v>
      </c>
      <c r="Q93" s="8" t="str">
        <f>IF(Tb_Data[[#This Row],[Auto Renewal]]="yes","Auto","Manual")</f>
        <v>Manual</v>
      </c>
    </row>
    <row r="94" spans="1:17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  <c r="N94" s="18" cm="1">
        <f t="array" ref="N9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45444</v>
      </c>
      <c r="O94" s="18" t="str">
        <f>IF(Tb_Data[[#This Row],[Expiration_date]]&lt;C̳álculos!$I$6,"",Tb_Data[[#This Row],[Expiration_date]])</f>
        <v/>
      </c>
      <c r="P94" s="18">
        <f>DATEVALUE(_xlfn.CONCAT("01/",MONTH(Tb_Data[[#This Row],[Start Date]]),"/",YEAR(Tb_Data[[#This Row],[Start Date]])))</f>
        <v>45413</v>
      </c>
      <c r="Q94" s="8" t="str">
        <f>IF(Tb_Data[[#This Row],[Auto Renewal]]="yes","Auto","Manual")</f>
        <v>Auto</v>
      </c>
    </row>
    <row r="95" spans="1:17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  <c r="N95" s="18" cm="1">
        <f t="array" ref="N9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95" s="18" t="str">
        <f>IF(Tb_Data[[#This Row],[Expiration_date]]&lt;C̳álculos!$I$6,"",Tb_Data[[#This Row],[Expiration_date]])</f>
        <v/>
      </c>
      <c r="P95" s="18">
        <f>DATEVALUE(_xlfn.CONCAT("01/",MONTH(Tb_Data[[#This Row],[Start Date]]),"/",YEAR(Tb_Data[[#This Row],[Start Date]])))</f>
        <v>45413</v>
      </c>
      <c r="Q95" s="8" t="str">
        <f>IF(Tb_Data[[#This Row],[Auto Renewal]]="yes","Auto","Manual")</f>
        <v>Manual</v>
      </c>
    </row>
    <row r="96" spans="1:17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  <c r="N96" s="18" cm="1">
        <f t="array" ref="N9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96" s="18" t="str">
        <f>IF(Tb_Data[[#This Row],[Expiration_date]]&lt;C̳álculos!$I$6,"",Tb_Data[[#This Row],[Expiration_date]])</f>
        <v/>
      </c>
      <c r="P96" s="18">
        <f>DATEVALUE(_xlfn.CONCAT("01/",MONTH(Tb_Data[[#This Row],[Start Date]]),"/",YEAR(Tb_Data[[#This Row],[Start Date]])))</f>
        <v>45413</v>
      </c>
      <c r="Q96" s="8" t="str">
        <f>IF(Tb_Data[[#This Row],[Auto Renewal]]="yes","Auto","Manual")</f>
        <v>Auto</v>
      </c>
    </row>
    <row r="97" spans="1:17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  <c r="N97" s="18" cm="1">
        <f t="array" ref="N9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45778</v>
      </c>
      <c r="O97" s="18">
        <f>IF(Tb_Data[[#This Row],[Expiration_date]]&lt;C̳álculos!$I$6,"",Tb_Data[[#This Row],[Expiration_date]])</f>
        <v>45778</v>
      </c>
      <c r="P97" s="18">
        <f>DATEVALUE(_xlfn.CONCAT("01/",MONTH(Tb_Data[[#This Row],[Start Date]]),"/",YEAR(Tb_Data[[#This Row],[Start Date]])))</f>
        <v>45413</v>
      </c>
      <c r="Q97" s="8" t="str">
        <f>IF(Tb_Data[[#This Row],[Auto Renewal]]="yes","Auto","Manual")</f>
        <v>Manual</v>
      </c>
    </row>
    <row r="98" spans="1:17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  <c r="N98" s="18" cm="1">
        <f t="array" ref="N9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98" s="18" t="str">
        <f>IF(Tb_Data[[#This Row],[Expiration_date]]&lt;C̳álculos!$I$6,"",Tb_Data[[#This Row],[Expiration_date]])</f>
        <v/>
      </c>
      <c r="P98" s="18">
        <f>DATEVALUE(_xlfn.CONCAT("01/",MONTH(Tb_Data[[#This Row],[Start Date]]),"/",YEAR(Tb_Data[[#This Row],[Start Date]])))</f>
        <v>45444</v>
      </c>
      <c r="Q98" s="8" t="str">
        <f>IF(Tb_Data[[#This Row],[Auto Renewal]]="yes","Auto","Manual")</f>
        <v>Auto</v>
      </c>
    </row>
    <row r="99" spans="1:17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  <c r="N99" s="18" cm="1">
        <f t="array" ref="N9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45809</v>
      </c>
      <c r="O99" s="18">
        <f>IF(Tb_Data[[#This Row],[Expiration_date]]&lt;C̳álculos!$I$6,"",Tb_Data[[#This Row],[Expiration_date]])</f>
        <v>45809</v>
      </c>
      <c r="P99" s="18">
        <f>DATEVALUE(_xlfn.CONCAT("01/",MONTH(Tb_Data[[#This Row],[Start Date]]),"/",YEAR(Tb_Data[[#This Row],[Start Date]])))</f>
        <v>45444</v>
      </c>
      <c r="Q99" s="8" t="str">
        <f>IF(Tb_Data[[#This Row],[Auto Renewal]]="yes","Auto","Manual")</f>
        <v>Manual</v>
      </c>
    </row>
    <row r="100" spans="1:17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  <c r="N100" s="18" cm="1">
        <f t="array" ref="N10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00" s="18" t="str">
        <f>IF(Tb_Data[[#This Row],[Expiration_date]]&lt;C̳álculos!$I$6,"",Tb_Data[[#This Row],[Expiration_date]])</f>
        <v/>
      </c>
      <c r="P100" s="18">
        <f>DATEVALUE(_xlfn.CONCAT("01/",MONTH(Tb_Data[[#This Row],[Start Date]]),"/",YEAR(Tb_Data[[#This Row],[Start Date]])))</f>
        <v>45444</v>
      </c>
      <c r="Q100" s="8" t="str">
        <f>IF(Tb_Data[[#This Row],[Auto Renewal]]="yes","Auto","Manual")</f>
        <v>Auto</v>
      </c>
    </row>
    <row r="101" spans="1:17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  <c r="N101" s="18" cm="1">
        <f t="array" ref="N10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101" s="18" t="str">
        <f>IF(Tb_Data[[#This Row],[Expiration_date]]&lt;C̳álculos!$I$6,"",Tb_Data[[#This Row],[Expiration_date]])</f>
        <v/>
      </c>
      <c r="P101" s="18">
        <f>DATEVALUE(_xlfn.CONCAT("01/",MONTH(Tb_Data[[#This Row],[Start Date]]),"/",YEAR(Tb_Data[[#This Row],[Start Date]])))</f>
        <v>45444</v>
      </c>
      <c r="Q101" s="8" t="str">
        <f>IF(Tb_Data[[#This Row],[Auto Renewal]]="yes","Auto","Manual")</f>
        <v>Manual</v>
      </c>
    </row>
    <row r="102" spans="1:17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  <c r="N102" s="18" cm="1">
        <f t="array" ref="N10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102" s="18" t="str">
        <f>IF(Tb_Data[[#This Row],[Expiration_date]]&lt;C̳álculos!$I$6,"",Tb_Data[[#This Row],[Expiration_date]])</f>
        <v/>
      </c>
      <c r="P102" s="18">
        <f>DATEVALUE(_xlfn.CONCAT("01/",MONTH(Tb_Data[[#This Row],[Start Date]]),"/",YEAR(Tb_Data[[#This Row],[Start Date]])))</f>
        <v>45444</v>
      </c>
      <c r="Q102" s="8" t="str">
        <f>IF(Tb_Data[[#This Row],[Auto Renewal]]="yes","Auto","Manual")</f>
        <v>Auto</v>
      </c>
    </row>
    <row r="103" spans="1:17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  <c r="N103" s="18" cm="1">
        <f t="array" ref="N10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45809</v>
      </c>
      <c r="O103" s="18">
        <f>IF(Tb_Data[[#This Row],[Expiration_date]]&lt;C̳álculos!$I$6,"",Tb_Data[[#This Row],[Expiration_date]])</f>
        <v>45809</v>
      </c>
      <c r="P103" s="18">
        <f>DATEVALUE(_xlfn.CONCAT("01/",MONTH(Tb_Data[[#This Row],[Start Date]]),"/",YEAR(Tb_Data[[#This Row],[Start Date]])))</f>
        <v>45444</v>
      </c>
      <c r="Q103" s="8" t="str">
        <f>IF(Tb_Data[[#This Row],[Auto Renewal]]="yes","Auto","Manual")</f>
        <v>Manual</v>
      </c>
    </row>
    <row r="104" spans="1:17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  <c r="N104" s="18" cm="1">
        <f t="array" ref="N10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04" s="18" t="str">
        <f>IF(Tb_Data[[#This Row],[Expiration_date]]&lt;C̳álculos!$I$6,"",Tb_Data[[#This Row],[Expiration_date]])</f>
        <v/>
      </c>
      <c r="P104" s="18">
        <f>DATEVALUE(_xlfn.CONCAT("01/",MONTH(Tb_Data[[#This Row],[Start Date]]),"/",YEAR(Tb_Data[[#This Row],[Start Date]])))</f>
        <v>45444</v>
      </c>
      <c r="Q104" s="8" t="str">
        <f>IF(Tb_Data[[#This Row],[Auto Renewal]]="yes","Auto","Manual")</f>
        <v>Auto</v>
      </c>
    </row>
    <row r="105" spans="1:17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  <c r="N105" s="18" cm="1">
        <f t="array" ref="N10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05" s="18" t="str">
        <f>IF(Tb_Data[[#This Row],[Expiration_date]]&lt;C̳álculos!$I$6,"",Tb_Data[[#This Row],[Expiration_date]])</f>
        <v/>
      </c>
      <c r="P105" s="18">
        <f>DATEVALUE(_xlfn.CONCAT("01/",MONTH(Tb_Data[[#This Row],[Start Date]]),"/",YEAR(Tb_Data[[#This Row],[Start Date]])))</f>
        <v>45444</v>
      </c>
      <c r="Q105" s="8" t="str">
        <f>IF(Tb_Data[[#This Row],[Auto Renewal]]="yes","Auto","Manual")</f>
        <v>Manual</v>
      </c>
    </row>
    <row r="106" spans="1:17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  <c r="N106" s="18" cm="1">
        <f t="array" ref="N10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106" s="18" t="str">
        <f>IF(Tb_Data[[#This Row],[Expiration_date]]&lt;C̳álculos!$I$6,"",Tb_Data[[#This Row],[Expiration_date]])</f>
        <v/>
      </c>
      <c r="P106" s="18">
        <f>DATEVALUE(_xlfn.CONCAT("01/",MONTH(Tb_Data[[#This Row],[Start Date]]),"/",YEAR(Tb_Data[[#This Row],[Start Date]])))</f>
        <v>45444</v>
      </c>
      <c r="Q106" s="8" t="str">
        <f>IF(Tb_Data[[#This Row],[Auto Renewal]]="yes","Auto","Manual")</f>
        <v>Auto</v>
      </c>
    </row>
    <row r="107" spans="1:17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  <c r="N107" s="18" cm="1">
        <f t="array" ref="N10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107" s="18" t="str">
        <f>IF(Tb_Data[[#This Row],[Expiration_date]]&lt;C̳álculos!$I$6,"",Tb_Data[[#This Row],[Expiration_date]])</f>
        <v/>
      </c>
      <c r="P107" s="18">
        <f>DATEVALUE(_xlfn.CONCAT("01/",MONTH(Tb_Data[[#This Row],[Start Date]]),"/",YEAR(Tb_Data[[#This Row],[Start Date]])))</f>
        <v>45444</v>
      </c>
      <c r="Q107" s="8" t="str">
        <f>IF(Tb_Data[[#This Row],[Auto Renewal]]="yes","Auto","Manual")</f>
        <v>Auto</v>
      </c>
    </row>
    <row r="108" spans="1:17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  <c r="N108" s="18" cm="1">
        <f t="array" ref="N10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08" s="18" t="str">
        <f>IF(Tb_Data[[#This Row],[Expiration_date]]&lt;C̳álculos!$I$6,"",Tb_Data[[#This Row],[Expiration_date]])</f>
        <v/>
      </c>
      <c r="P108" s="18">
        <f>DATEVALUE(_xlfn.CONCAT("01/",MONTH(Tb_Data[[#This Row],[Start Date]]),"/",YEAR(Tb_Data[[#This Row],[Start Date]])))</f>
        <v>45444</v>
      </c>
      <c r="Q108" s="8" t="str">
        <f>IF(Tb_Data[[#This Row],[Auto Renewal]]="yes","Auto","Manual")</f>
        <v>Manual</v>
      </c>
    </row>
    <row r="109" spans="1:17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  <c r="N109" s="18" cm="1">
        <f t="array" ref="N10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45809</v>
      </c>
      <c r="O109" s="18">
        <f>IF(Tb_Data[[#This Row],[Expiration_date]]&lt;C̳álculos!$I$6,"",Tb_Data[[#This Row],[Expiration_date]])</f>
        <v>45809</v>
      </c>
      <c r="P109" s="18">
        <f>DATEVALUE(_xlfn.CONCAT("01/",MONTH(Tb_Data[[#This Row],[Start Date]]),"/",YEAR(Tb_Data[[#This Row],[Start Date]])))</f>
        <v>45444</v>
      </c>
      <c r="Q109" s="8" t="str">
        <f>IF(Tb_Data[[#This Row],[Auto Renewal]]="yes","Auto","Manual")</f>
        <v>Auto</v>
      </c>
    </row>
    <row r="110" spans="1:17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  <c r="N110" s="18" cm="1">
        <f t="array" ref="N11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10" s="18" t="str">
        <f>IF(Tb_Data[[#This Row],[Expiration_date]]&lt;C̳álculos!$I$6,"",Tb_Data[[#This Row],[Expiration_date]])</f>
        <v/>
      </c>
      <c r="P110" s="18">
        <f>DATEVALUE(_xlfn.CONCAT("01/",MONTH(Tb_Data[[#This Row],[Start Date]]),"/",YEAR(Tb_Data[[#This Row],[Start Date]])))</f>
        <v>45444</v>
      </c>
      <c r="Q110" s="8" t="str">
        <f>IF(Tb_Data[[#This Row],[Auto Renewal]]="yes","Auto","Manual")</f>
        <v>Manual</v>
      </c>
    </row>
    <row r="111" spans="1:17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  <c r="N111" s="18" cm="1">
        <f t="array" ref="N11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111" s="18" t="str">
        <f>IF(Tb_Data[[#This Row],[Expiration_date]]&lt;C̳álculos!$I$6,"",Tb_Data[[#This Row],[Expiration_date]])</f>
        <v/>
      </c>
      <c r="P111" s="18">
        <f>DATEVALUE(_xlfn.CONCAT("01/",MONTH(Tb_Data[[#This Row],[Start Date]]),"/",YEAR(Tb_Data[[#This Row],[Start Date]])))</f>
        <v>45444</v>
      </c>
      <c r="Q111" s="8" t="str">
        <f>IF(Tb_Data[[#This Row],[Auto Renewal]]="yes","Auto","Manual")</f>
        <v>Auto</v>
      </c>
    </row>
    <row r="112" spans="1:17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  <c r="N112" s="18" cm="1">
        <f t="array" ref="N11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112" s="18" t="str">
        <f>IF(Tb_Data[[#This Row],[Expiration_date]]&lt;C̳álculos!$I$6,"",Tb_Data[[#This Row],[Expiration_date]])</f>
        <v/>
      </c>
      <c r="P112" s="18">
        <f>DATEVALUE(_xlfn.CONCAT("01/",MONTH(Tb_Data[[#This Row],[Start Date]]),"/",YEAR(Tb_Data[[#This Row],[Start Date]])))</f>
        <v>45444</v>
      </c>
      <c r="Q112" s="8" t="str">
        <f>IF(Tb_Data[[#This Row],[Auto Renewal]]="yes","Auto","Manual")</f>
        <v>Manual</v>
      </c>
    </row>
    <row r="113" spans="1:17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  <c r="N113" s="18" cm="1">
        <f t="array" ref="N11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45809</v>
      </c>
      <c r="O113" s="18">
        <f>IF(Tb_Data[[#This Row],[Expiration_date]]&lt;C̳álculos!$I$6,"",Tb_Data[[#This Row],[Expiration_date]])</f>
        <v>45809</v>
      </c>
      <c r="P113" s="18">
        <f>DATEVALUE(_xlfn.CONCAT("01/",MONTH(Tb_Data[[#This Row],[Start Date]]),"/",YEAR(Tb_Data[[#This Row],[Start Date]])))</f>
        <v>45444</v>
      </c>
      <c r="Q113" s="8" t="str">
        <f>IF(Tb_Data[[#This Row],[Auto Renewal]]="yes","Auto","Manual")</f>
        <v>Auto</v>
      </c>
    </row>
    <row r="114" spans="1:17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  <c r="N114" s="18" cm="1">
        <f t="array" ref="N11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14" s="18" t="str">
        <f>IF(Tb_Data[[#This Row],[Expiration_date]]&lt;C̳álculos!$I$6,"",Tb_Data[[#This Row],[Expiration_date]])</f>
        <v/>
      </c>
      <c r="P114" s="18">
        <f>DATEVALUE(_xlfn.CONCAT("01/",MONTH(Tb_Data[[#This Row],[Start Date]]),"/",YEAR(Tb_Data[[#This Row],[Start Date]])))</f>
        <v>45444</v>
      </c>
      <c r="Q114" s="8" t="str">
        <f>IF(Tb_Data[[#This Row],[Auto Renewal]]="yes","Auto","Manual")</f>
        <v>Manual</v>
      </c>
    </row>
    <row r="115" spans="1:17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  <c r="N115" s="18" cm="1">
        <f t="array" ref="N11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15" s="18" t="str">
        <f>IF(Tb_Data[[#This Row],[Expiration_date]]&lt;C̳álculos!$I$6,"",Tb_Data[[#This Row],[Expiration_date]])</f>
        <v/>
      </c>
      <c r="P115" s="18">
        <f>DATEVALUE(_xlfn.CONCAT("01/",MONTH(Tb_Data[[#This Row],[Start Date]]),"/",YEAR(Tb_Data[[#This Row],[Start Date]])))</f>
        <v>45444</v>
      </c>
      <c r="Q115" s="8" t="str">
        <f>IF(Tb_Data[[#This Row],[Auto Renewal]]="yes","Auto","Manual")</f>
        <v>Auto</v>
      </c>
    </row>
    <row r="116" spans="1:17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  <c r="N116" s="18" cm="1">
        <f t="array" ref="N11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116" s="18" t="str">
        <f>IF(Tb_Data[[#This Row],[Expiration_date]]&lt;C̳álculos!$I$6,"",Tb_Data[[#This Row],[Expiration_date]])</f>
        <v/>
      </c>
      <c r="P116" s="18">
        <f>DATEVALUE(_xlfn.CONCAT("01/",MONTH(Tb_Data[[#This Row],[Start Date]]),"/",YEAR(Tb_Data[[#This Row],[Start Date]])))</f>
        <v>45444</v>
      </c>
      <c r="Q116" s="8" t="str">
        <f>IF(Tb_Data[[#This Row],[Auto Renewal]]="yes","Auto","Manual")</f>
        <v>Manual</v>
      </c>
    </row>
    <row r="117" spans="1:17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  <c r="N117" s="18" cm="1">
        <f t="array" ref="N11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45809</v>
      </c>
      <c r="O117" s="18">
        <f>IF(Tb_Data[[#This Row],[Expiration_date]]&lt;C̳álculos!$I$6,"",Tb_Data[[#This Row],[Expiration_date]])</f>
        <v>45809</v>
      </c>
      <c r="P117" s="18">
        <f>DATEVALUE(_xlfn.CONCAT("01/",MONTH(Tb_Data[[#This Row],[Start Date]]),"/",YEAR(Tb_Data[[#This Row],[Start Date]])))</f>
        <v>45444</v>
      </c>
      <c r="Q117" s="8" t="str">
        <f>IF(Tb_Data[[#This Row],[Auto Renewal]]="yes","Auto","Manual")</f>
        <v>Auto</v>
      </c>
    </row>
    <row r="118" spans="1:17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  <c r="N118" s="18" cm="1">
        <f t="array" ref="N11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118" s="18" t="str">
        <f>IF(Tb_Data[[#This Row],[Expiration_date]]&lt;C̳álculos!$I$6,"",Tb_Data[[#This Row],[Expiration_date]])</f>
        <v/>
      </c>
      <c r="P118" s="18">
        <f>DATEVALUE(_xlfn.CONCAT("01/",MONTH(Tb_Data[[#This Row],[Start Date]]),"/",YEAR(Tb_Data[[#This Row],[Start Date]])))</f>
        <v>45444</v>
      </c>
      <c r="Q118" s="8" t="str">
        <f>IF(Tb_Data[[#This Row],[Auto Renewal]]="yes","Auto","Manual")</f>
        <v>Manual</v>
      </c>
    </row>
    <row r="119" spans="1:17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  <c r="N119" s="18" cm="1">
        <f t="array" ref="N11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19" s="18" t="str">
        <f>IF(Tb_Data[[#This Row],[Expiration_date]]&lt;C̳álculos!$I$6,"",Tb_Data[[#This Row],[Expiration_date]])</f>
        <v/>
      </c>
      <c r="P119" s="18">
        <f>DATEVALUE(_xlfn.CONCAT("01/",MONTH(Tb_Data[[#This Row],[Start Date]]),"/",YEAR(Tb_Data[[#This Row],[Start Date]])))</f>
        <v>45444</v>
      </c>
      <c r="Q119" s="8" t="str">
        <f>IF(Tb_Data[[#This Row],[Auto Renewal]]="yes","Auto","Manual")</f>
        <v>Auto</v>
      </c>
    </row>
    <row r="120" spans="1:17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  <c r="N120" s="18" cm="1">
        <f t="array" ref="N12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120" s="18" t="str">
        <f>IF(Tb_Data[[#This Row],[Expiration_date]]&lt;C̳álculos!$I$6,"",Tb_Data[[#This Row],[Expiration_date]])</f>
        <v/>
      </c>
      <c r="P120" s="18">
        <f>DATEVALUE(_xlfn.CONCAT("01/",MONTH(Tb_Data[[#This Row],[Start Date]]),"/",YEAR(Tb_Data[[#This Row],[Start Date]])))</f>
        <v>45444</v>
      </c>
      <c r="Q120" s="8" t="str">
        <f>IF(Tb_Data[[#This Row],[Auto Renewal]]="yes","Auto","Manual")</f>
        <v>Manual</v>
      </c>
    </row>
    <row r="121" spans="1:17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  <c r="N121" s="18" cm="1">
        <f t="array" ref="N12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45809</v>
      </c>
      <c r="O121" s="18">
        <f>IF(Tb_Data[[#This Row],[Expiration_date]]&lt;C̳álculos!$I$6,"",Tb_Data[[#This Row],[Expiration_date]])</f>
        <v>45809</v>
      </c>
      <c r="P121" s="18">
        <f>DATEVALUE(_xlfn.CONCAT("01/",MONTH(Tb_Data[[#This Row],[Start Date]]),"/",YEAR(Tb_Data[[#This Row],[Start Date]])))</f>
        <v>45444</v>
      </c>
      <c r="Q121" s="8" t="str">
        <f>IF(Tb_Data[[#This Row],[Auto Renewal]]="yes","Auto","Manual")</f>
        <v>Auto</v>
      </c>
    </row>
    <row r="122" spans="1:17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  <c r="N122" s="18" cm="1">
        <f t="array" ref="N12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122" s="18" t="str">
        <f>IF(Tb_Data[[#This Row],[Expiration_date]]&lt;C̳álculos!$I$6,"",Tb_Data[[#This Row],[Expiration_date]])</f>
        <v/>
      </c>
      <c r="P122" s="18">
        <f>DATEVALUE(_xlfn.CONCAT("01/",MONTH(Tb_Data[[#This Row],[Start Date]]),"/",YEAR(Tb_Data[[#This Row],[Start Date]])))</f>
        <v>45444</v>
      </c>
      <c r="Q122" s="8" t="str">
        <f>IF(Tb_Data[[#This Row],[Auto Renewal]]="yes","Auto","Manual")</f>
        <v>Manual</v>
      </c>
    </row>
    <row r="123" spans="1:17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  <c r="N123" s="18" cm="1">
        <f t="array" ref="N12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23" s="18" t="str">
        <f>IF(Tb_Data[[#This Row],[Expiration_date]]&lt;C̳álculos!$I$6,"",Tb_Data[[#This Row],[Expiration_date]])</f>
        <v/>
      </c>
      <c r="P123" s="18">
        <f>DATEVALUE(_xlfn.CONCAT("01/",MONTH(Tb_Data[[#This Row],[Start Date]]),"/",YEAR(Tb_Data[[#This Row],[Start Date]])))</f>
        <v>45444</v>
      </c>
      <c r="Q123" s="8" t="str">
        <f>IF(Tb_Data[[#This Row],[Auto Renewal]]="yes","Auto","Manual")</f>
        <v>Auto</v>
      </c>
    </row>
    <row r="124" spans="1:17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  <c r="N124" s="18" cm="1">
        <f t="array" ref="N12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124" s="18" t="str">
        <f>IF(Tb_Data[[#This Row],[Expiration_date]]&lt;C̳álculos!$I$6,"",Tb_Data[[#This Row],[Expiration_date]])</f>
        <v/>
      </c>
      <c r="P124" s="18">
        <f>DATEVALUE(_xlfn.CONCAT("01/",MONTH(Tb_Data[[#This Row],[Start Date]]),"/",YEAR(Tb_Data[[#This Row],[Start Date]])))</f>
        <v>45444</v>
      </c>
      <c r="Q124" s="8" t="str">
        <f>IF(Tb_Data[[#This Row],[Auto Renewal]]="yes","Auto","Manual")</f>
        <v>Manual</v>
      </c>
    </row>
    <row r="125" spans="1:17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  <c r="N125" s="18" cm="1">
        <f t="array" ref="N12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45809</v>
      </c>
      <c r="O125" s="18">
        <f>IF(Tb_Data[[#This Row],[Expiration_date]]&lt;C̳álculos!$I$6,"",Tb_Data[[#This Row],[Expiration_date]])</f>
        <v>45809</v>
      </c>
      <c r="P125" s="18">
        <f>DATEVALUE(_xlfn.CONCAT("01/",MONTH(Tb_Data[[#This Row],[Start Date]]),"/",YEAR(Tb_Data[[#This Row],[Start Date]])))</f>
        <v>45444</v>
      </c>
      <c r="Q125" s="8" t="str">
        <f>IF(Tb_Data[[#This Row],[Auto Renewal]]="yes","Auto","Manual")</f>
        <v>Auto</v>
      </c>
    </row>
    <row r="126" spans="1:17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  <c r="N126" s="18" cm="1">
        <f t="array" ref="N12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45474</v>
      </c>
      <c r="O126" s="18" t="str">
        <f>IF(Tb_Data[[#This Row],[Expiration_date]]&lt;C̳álculos!$I$6,"",Tb_Data[[#This Row],[Expiration_date]])</f>
        <v/>
      </c>
      <c r="P126" s="18">
        <f>DATEVALUE(_xlfn.CONCAT("01/",MONTH(Tb_Data[[#This Row],[Start Date]]),"/",YEAR(Tb_Data[[#This Row],[Start Date]])))</f>
        <v>45444</v>
      </c>
      <c r="Q126" s="8" t="str">
        <f>IF(Tb_Data[[#This Row],[Auto Renewal]]="yes","Auto","Manual")</f>
        <v>Manual</v>
      </c>
    </row>
    <row r="127" spans="1:17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  <c r="N127" s="18" cm="1">
        <f t="array" ref="N12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27" s="18" t="str">
        <f>IF(Tb_Data[[#This Row],[Expiration_date]]&lt;C̳álculos!$I$6,"",Tb_Data[[#This Row],[Expiration_date]])</f>
        <v/>
      </c>
      <c r="P127" s="18">
        <f>DATEVALUE(_xlfn.CONCAT("01/",MONTH(Tb_Data[[#This Row],[Start Date]]),"/",YEAR(Tb_Data[[#This Row],[Start Date]])))</f>
        <v>45444</v>
      </c>
      <c r="Q127" s="8" t="str">
        <f>IF(Tb_Data[[#This Row],[Auto Renewal]]="yes","Auto","Manual")</f>
        <v>Auto</v>
      </c>
    </row>
    <row r="128" spans="1:17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  <c r="N128" s="18" cm="1">
        <f t="array" ref="N12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128" s="18" t="str">
        <f>IF(Tb_Data[[#This Row],[Expiration_date]]&lt;C̳álculos!$I$6,"",Tb_Data[[#This Row],[Expiration_date]])</f>
        <v/>
      </c>
      <c r="P128" s="18">
        <f>DATEVALUE(_xlfn.CONCAT("01/",MONTH(Tb_Data[[#This Row],[Start Date]]),"/",YEAR(Tb_Data[[#This Row],[Start Date]])))</f>
        <v>45474</v>
      </c>
      <c r="Q128" s="8" t="str">
        <f>IF(Tb_Data[[#This Row],[Auto Renewal]]="yes","Auto","Manual")</f>
        <v>Manual</v>
      </c>
    </row>
    <row r="129" spans="1:17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  <c r="N129" s="18" cm="1">
        <f t="array" ref="N12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45839</v>
      </c>
      <c r="O129" s="18">
        <f>IF(Tb_Data[[#This Row],[Expiration_date]]&lt;C̳álculos!$I$6,"",Tb_Data[[#This Row],[Expiration_date]])</f>
        <v>45839</v>
      </c>
      <c r="P129" s="18">
        <f>DATEVALUE(_xlfn.CONCAT("01/",MONTH(Tb_Data[[#This Row],[Start Date]]),"/",YEAR(Tb_Data[[#This Row],[Start Date]])))</f>
        <v>45474</v>
      </c>
      <c r="Q129" s="8" t="str">
        <f>IF(Tb_Data[[#This Row],[Auto Renewal]]="yes","Auto","Manual")</f>
        <v>Auto</v>
      </c>
    </row>
    <row r="130" spans="1:17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  <c r="N130" s="18" cm="1">
        <f t="array" ref="N13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130" s="18" t="str">
        <f>IF(Tb_Data[[#This Row],[Expiration_date]]&lt;C̳álculos!$I$6,"",Tb_Data[[#This Row],[Expiration_date]])</f>
        <v/>
      </c>
      <c r="P130" s="18">
        <f>DATEVALUE(_xlfn.CONCAT("01/",MONTH(Tb_Data[[#This Row],[Start Date]]),"/",YEAR(Tb_Data[[#This Row],[Start Date]])))</f>
        <v>45474</v>
      </c>
      <c r="Q130" s="8" t="str">
        <f>IF(Tb_Data[[#This Row],[Auto Renewal]]="yes","Auto","Manual")</f>
        <v>Manual</v>
      </c>
    </row>
    <row r="131" spans="1:17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  <c r="N131" s="18" cm="1">
        <f t="array" ref="N13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131" s="18" t="str">
        <f>IF(Tb_Data[[#This Row],[Expiration_date]]&lt;C̳álculos!$I$6,"",Tb_Data[[#This Row],[Expiration_date]])</f>
        <v/>
      </c>
      <c r="P131" s="18">
        <f>DATEVALUE(_xlfn.CONCAT("01/",MONTH(Tb_Data[[#This Row],[Start Date]]),"/",YEAR(Tb_Data[[#This Row],[Start Date]])))</f>
        <v>45474</v>
      </c>
      <c r="Q131" s="8" t="str">
        <f>IF(Tb_Data[[#This Row],[Auto Renewal]]="yes","Auto","Manual")</f>
        <v>Auto</v>
      </c>
    </row>
    <row r="132" spans="1:17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  <c r="N132" s="18" cm="1">
        <f t="array" ref="N13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132" s="18" t="str">
        <f>IF(Tb_Data[[#This Row],[Expiration_date]]&lt;C̳álculos!$I$6,"",Tb_Data[[#This Row],[Expiration_date]])</f>
        <v/>
      </c>
      <c r="P132" s="18">
        <f>DATEVALUE(_xlfn.CONCAT("01/",MONTH(Tb_Data[[#This Row],[Start Date]]),"/",YEAR(Tb_Data[[#This Row],[Start Date]])))</f>
        <v>45474</v>
      </c>
      <c r="Q132" s="8" t="str">
        <f>IF(Tb_Data[[#This Row],[Auto Renewal]]="yes","Auto","Manual")</f>
        <v>Manual</v>
      </c>
    </row>
    <row r="133" spans="1:17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  <c r="N133" s="18" cm="1">
        <f t="array" ref="N13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45839</v>
      </c>
      <c r="O133" s="18">
        <f>IF(Tb_Data[[#This Row],[Expiration_date]]&lt;C̳álculos!$I$6,"",Tb_Data[[#This Row],[Expiration_date]])</f>
        <v>45839</v>
      </c>
      <c r="P133" s="18">
        <f>DATEVALUE(_xlfn.CONCAT("01/",MONTH(Tb_Data[[#This Row],[Start Date]]),"/",YEAR(Tb_Data[[#This Row],[Start Date]])))</f>
        <v>45474</v>
      </c>
      <c r="Q133" s="8" t="str">
        <f>IF(Tb_Data[[#This Row],[Auto Renewal]]="yes","Auto","Manual")</f>
        <v>Auto</v>
      </c>
    </row>
    <row r="134" spans="1:17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  <c r="N134" s="18" cm="1">
        <f t="array" ref="N13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134" s="18" t="str">
        <f>IF(Tb_Data[[#This Row],[Expiration_date]]&lt;C̳álculos!$I$6,"",Tb_Data[[#This Row],[Expiration_date]])</f>
        <v/>
      </c>
      <c r="P134" s="18">
        <f>DATEVALUE(_xlfn.CONCAT("01/",MONTH(Tb_Data[[#This Row],[Start Date]]),"/",YEAR(Tb_Data[[#This Row],[Start Date]])))</f>
        <v>45474</v>
      </c>
      <c r="Q134" s="8" t="str">
        <f>IF(Tb_Data[[#This Row],[Auto Renewal]]="yes","Auto","Manual")</f>
        <v>Manual</v>
      </c>
    </row>
    <row r="135" spans="1:17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  <c r="N135" s="18" cm="1">
        <f t="array" ref="N13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135" s="18" t="str">
        <f>IF(Tb_Data[[#This Row],[Expiration_date]]&lt;C̳álculos!$I$6,"",Tb_Data[[#This Row],[Expiration_date]])</f>
        <v/>
      </c>
      <c r="P135" s="18">
        <f>DATEVALUE(_xlfn.CONCAT("01/",MONTH(Tb_Data[[#This Row],[Start Date]]),"/",YEAR(Tb_Data[[#This Row],[Start Date]])))</f>
        <v>45474</v>
      </c>
      <c r="Q135" s="8" t="str">
        <f>IF(Tb_Data[[#This Row],[Auto Renewal]]="yes","Auto","Manual")</f>
        <v>Auto</v>
      </c>
    </row>
    <row r="136" spans="1:17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  <c r="N136" s="18" cm="1">
        <f t="array" ref="N13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136" s="18" t="str">
        <f>IF(Tb_Data[[#This Row],[Expiration_date]]&lt;C̳álculos!$I$6,"",Tb_Data[[#This Row],[Expiration_date]])</f>
        <v/>
      </c>
      <c r="P136" s="18">
        <f>DATEVALUE(_xlfn.CONCAT("01/",MONTH(Tb_Data[[#This Row],[Start Date]]),"/",YEAR(Tb_Data[[#This Row],[Start Date]])))</f>
        <v>45474</v>
      </c>
      <c r="Q136" s="8" t="str">
        <f>IF(Tb_Data[[#This Row],[Auto Renewal]]="yes","Auto","Manual")</f>
        <v>Manual</v>
      </c>
    </row>
    <row r="137" spans="1:17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  <c r="N137" s="18" cm="1">
        <f t="array" ref="N13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137" s="18" t="str">
        <f>IF(Tb_Data[[#This Row],[Expiration_date]]&lt;C̳álculos!$I$6,"",Tb_Data[[#This Row],[Expiration_date]])</f>
        <v/>
      </c>
      <c r="P137" s="18">
        <f>DATEVALUE(_xlfn.CONCAT("01/",MONTH(Tb_Data[[#This Row],[Start Date]]),"/",YEAR(Tb_Data[[#This Row],[Start Date]])))</f>
        <v>45474</v>
      </c>
      <c r="Q137" s="8" t="str">
        <f>IF(Tb_Data[[#This Row],[Auto Renewal]]="yes","Auto","Manual")</f>
        <v>Auto</v>
      </c>
    </row>
    <row r="138" spans="1:17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  <c r="N138" s="18" cm="1">
        <f t="array" ref="N13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138" s="18" t="str">
        <f>IF(Tb_Data[[#This Row],[Expiration_date]]&lt;C̳álculos!$I$6,"",Tb_Data[[#This Row],[Expiration_date]])</f>
        <v/>
      </c>
      <c r="P138" s="18">
        <f>DATEVALUE(_xlfn.CONCAT("01/",MONTH(Tb_Data[[#This Row],[Start Date]]),"/",YEAR(Tb_Data[[#This Row],[Start Date]])))</f>
        <v>45474</v>
      </c>
      <c r="Q138" s="8" t="str">
        <f>IF(Tb_Data[[#This Row],[Auto Renewal]]="yes","Auto","Manual")</f>
        <v>Manual</v>
      </c>
    </row>
    <row r="139" spans="1:17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  <c r="N139" s="18" cm="1">
        <f t="array" ref="N13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45839</v>
      </c>
      <c r="O139" s="18">
        <f>IF(Tb_Data[[#This Row],[Expiration_date]]&lt;C̳álculos!$I$6,"",Tb_Data[[#This Row],[Expiration_date]])</f>
        <v>45839</v>
      </c>
      <c r="P139" s="18">
        <f>DATEVALUE(_xlfn.CONCAT("01/",MONTH(Tb_Data[[#This Row],[Start Date]]),"/",YEAR(Tb_Data[[#This Row],[Start Date]])))</f>
        <v>45474</v>
      </c>
      <c r="Q139" s="8" t="str">
        <f>IF(Tb_Data[[#This Row],[Auto Renewal]]="yes","Auto","Manual")</f>
        <v>Auto</v>
      </c>
    </row>
    <row r="140" spans="1:17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  <c r="N140" s="18" cm="1">
        <f t="array" ref="N14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140" s="18" t="str">
        <f>IF(Tb_Data[[#This Row],[Expiration_date]]&lt;C̳álculos!$I$6,"",Tb_Data[[#This Row],[Expiration_date]])</f>
        <v/>
      </c>
      <c r="P140" s="18">
        <f>DATEVALUE(_xlfn.CONCAT("01/",MONTH(Tb_Data[[#This Row],[Start Date]]),"/",YEAR(Tb_Data[[#This Row],[Start Date]])))</f>
        <v>45474</v>
      </c>
      <c r="Q140" s="8" t="str">
        <f>IF(Tb_Data[[#This Row],[Auto Renewal]]="yes","Auto","Manual")</f>
        <v>Manual</v>
      </c>
    </row>
    <row r="141" spans="1:17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  <c r="N141" s="18" cm="1">
        <f t="array" ref="N14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141" s="18" t="str">
        <f>IF(Tb_Data[[#This Row],[Expiration_date]]&lt;C̳álculos!$I$6,"",Tb_Data[[#This Row],[Expiration_date]])</f>
        <v/>
      </c>
      <c r="P141" s="18">
        <f>DATEVALUE(_xlfn.CONCAT("01/",MONTH(Tb_Data[[#This Row],[Start Date]]),"/",YEAR(Tb_Data[[#This Row],[Start Date]])))</f>
        <v>45474</v>
      </c>
      <c r="Q141" s="8" t="str">
        <f>IF(Tb_Data[[#This Row],[Auto Renewal]]="yes","Auto","Manual")</f>
        <v>Auto</v>
      </c>
    </row>
    <row r="142" spans="1:17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  <c r="N142" s="18" cm="1">
        <f t="array" ref="N14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142" s="18" t="str">
        <f>IF(Tb_Data[[#This Row],[Expiration_date]]&lt;C̳álculos!$I$6,"",Tb_Data[[#This Row],[Expiration_date]])</f>
        <v/>
      </c>
      <c r="P142" s="18">
        <f>DATEVALUE(_xlfn.CONCAT("01/",MONTH(Tb_Data[[#This Row],[Start Date]]),"/",YEAR(Tb_Data[[#This Row],[Start Date]])))</f>
        <v>45474</v>
      </c>
      <c r="Q142" s="8" t="str">
        <f>IF(Tb_Data[[#This Row],[Auto Renewal]]="yes","Auto","Manual")</f>
        <v>Manual</v>
      </c>
    </row>
    <row r="143" spans="1:17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  <c r="N143" s="18" cm="1">
        <f t="array" ref="N14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45839</v>
      </c>
      <c r="O143" s="18">
        <f>IF(Tb_Data[[#This Row],[Expiration_date]]&lt;C̳álculos!$I$6,"",Tb_Data[[#This Row],[Expiration_date]])</f>
        <v>45839</v>
      </c>
      <c r="P143" s="18">
        <f>DATEVALUE(_xlfn.CONCAT("01/",MONTH(Tb_Data[[#This Row],[Start Date]]),"/",YEAR(Tb_Data[[#This Row],[Start Date]])))</f>
        <v>45474</v>
      </c>
      <c r="Q143" s="8" t="str">
        <f>IF(Tb_Data[[#This Row],[Auto Renewal]]="yes","Auto","Manual")</f>
        <v>Auto</v>
      </c>
    </row>
    <row r="144" spans="1:17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  <c r="N144" s="18" cm="1">
        <f t="array" ref="N14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144" s="18" t="str">
        <f>IF(Tb_Data[[#This Row],[Expiration_date]]&lt;C̳álculos!$I$6,"",Tb_Data[[#This Row],[Expiration_date]])</f>
        <v/>
      </c>
      <c r="P144" s="18">
        <f>DATEVALUE(_xlfn.CONCAT("01/",MONTH(Tb_Data[[#This Row],[Start Date]]),"/",YEAR(Tb_Data[[#This Row],[Start Date]])))</f>
        <v>45474</v>
      </c>
      <c r="Q144" s="8" t="str">
        <f>IF(Tb_Data[[#This Row],[Auto Renewal]]="yes","Auto","Manual")</f>
        <v>Manual</v>
      </c>
    </row>
    <row r="145" spans="1:17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  <c r="N145" s="18" cm="1">
        <f t="array" ref="N14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145" s="18" t="str">
        <f>IF(Tb_Data[[#This Row],[Expiration_date]]&lt;C̳álculos!$I$6,"",Tb_Data[[#This Row],[Expiration_date]])</f>
        <v/>
      </c>
      <c r="P145" s="18">
        <f>DATEVALUE(_xlfn.CONCAT("01/",MONTH(Tb_Data[[#This Row],[Start Date]]),"/",YEAR(Tb_Data[[#This Row],[Start Date]])))</f>
        <v>45474</v>
      </c>
      <c r="Q145" s="8" t="str">
        <f>IF(Tb_Data[[#This Row],[Auto Renewal]]="yes","Auto","Manual")</f>
        <v>Auto</v>
      </c>
    </row>
    <row r="146" spans="1:17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  <c r="N146" s="18" cm="1">
        <f t="array" ref="N14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146" s="18" t="str">
        <f>IF(Tb_Data[[#This Row],[Expiration_date]]&lt;C̳álculos!$I$6,"",Tb_Data[[#This Row],[Expiration_date]])</f>
        <v/>
      </c>
      <c r="P146" s="18">
        <f>DATEVALUE(_xlfn.CONCAT("01/",MONTH(Tb_Data[[#This Row],[Start Date]]),"/",YEAR(Tb_Data[[#This Row],[Start Date]])))</f>
        <v>45474</v>
      </c>
      <c r="Q146" s="8" t="str">
        <f>IF(Tb_Data[[#This Row],[Auto Renewal]]="yes","Auto","Manual")</f>
        <v>Manual</v>
      </c>
    </row>
    <row r="147" spans="1:17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  <c r="N147" s="18" cm="1">
        <f t="array" ref="N14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45839</v>
      </c>
      <c r="O147" s="18">
        <f>IF(Tb_Data[[#This Row],[Expiration_date]]&lt;C̳álculos!$I$6,"",Tb_Data[[#This Row],[Expiration_date]])</f>
        <v>45839</v>
      </c>
      <c r="P147" s="18">
        <f>DATEVALUE(_xlfn.CONCAT("01/",MONTH(Tb_Data[[#This Row],[Start Date]]),"/",YEAR(Tb_Data[[#This Row],[Start Date]])))</f>
        <v>45474</v>
      </c>
      <c r="Q147" s="8" t="str">
        <f>IF(Tb_Data[[#This Row],[Auto Renewal]]="yes","Auto","Manual")</f>
        <v>Auto</v>
      </c>
    </row>
    <row r="148" spans="1:17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  <c r="N148" s="18" cm="1">
        <f t="array" ref="N14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148" s="18" t="str">
        <f>IF(Tb_Data[[#This Row],[Expiration_date]]&lt;C̳álculos!$I$6,"",Tb_Data[[#This Row],[Expiration_date]])</f>
        <v/>
      </c>
      <c r="P148" s="18">
        <f>DATEVALUE(_xlfn.CONCAT("01/",MONTH(Tb_Data[[#This Row],[Start Date]]),"/",YEAR(Tb_Data[[#This Row],[Start Date]])))</f>
        <v>45474</v>
      </c>
      <c r="Q148" s="8" t="str">
        <f>IF(Tb_Data[[#This Row],[Auto Renewal]]="yes","Auto","Manual")</f>
        <v>Manual</v>
      </c>
    </row>
    <row r="149" spans="1:17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  <c r="N149" s="18" cm="1">
        <f t="array" ref="N14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149" s="18" t="str">
        <f>IF(Tb_Data[[#This Row],[Expiration_date]]&lt;C̳álculos!$I$6,"",Tb_Data[[#This Row],[Expiration_date]])</f>
        <v/>
      </c>
      <c r="P149" s="18">
        <f>DATEVALUE(_xlfn.CONCAT("01/",MONTH(Tb_Data[[#This Row],[Start Date]]),"/",YEAR(Tb_Data[[#This Row],[Start Date]])))</f>
        <v>45474</v>
      </c>
      <c r="Q149" s="8" t="str">
        <f>IF(Tb_Data[[#This Row],[Auto Renewal]]="yes","Auto","Manual")</f>
        <v>Auto</v>
      </c>
    </row>
    <row r="150" spans="1:17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  <c r="N150" s="18" cm="1">
        <f t="array" ref="N15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150" s="18" t="str">
        <f>IF(Tb_Data[[#This Row],[Expiration_date]]&lt;C̳álculos!$I$6,"",Tb_Data[[#This Row],[Expiration_date]])</f>
        <v/>
      </c>
      <c r="P150" s="18">
        <f>DATEVALUE(_xlfn.CONCAT("01/",MONTH(Tb_Data[[#This Row],[Start Date]]),"/",YEAR(Tb_Data[[#This Row],[Start Date]])))</f>
        <v>45474</v>
      </c>
      <c r="Q150" s="8" t="str">
        <f>IF(Tb_Data[[#This Row],[Auto Renewal]]="yes","Auto","Manual")</f>
        <v>Manual</v>
      </c>
    </row>
    <row r="151" spans="1:17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  <c r="N151" s="18" cm="1">
        <f t="array" ref="N15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45839</v>
      </c>
      <c r="O151" s="18">
        <f>IF(Tb_Data[[#This Row],[Expiration_date]]&lt;C̳álculos!$I$6,"",Tb_Data[[#This Row],[Expiration_date]])</f>
        <v>45839</v>
      </c>
      <c r="P151" s="18">
        <f>DATEVALUE(_xlfn.CONCAT("01/",MONTH(Tb_Data[[#This Row],[Start Date]]),"/",YEAR(Tb_Data[[#This Row],[Start Date]])))</f>
        <v>45474</v>
      </c>
      <c r="Q151" s="8" t="str">
        <f>IF(Tb_Data[[#This Row],[Auto Renewal]]="yes","Auto","Manual")</f>
        <v>Auto</v>
      </c>
    </row>
    <row r="152" spans="1:17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  <c r="N152" s="18" cm="1">
        <f t="array" ref="N15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152" s="18" t="str">
        <f>IF(Tb_Data[[#This Row],[Expiration_date]]&lt;C̳álculos!$I$6,"",Tb_Data[[#This Row],[Expiration_date]])</f>
        <v/>
      </c>
      <c r="P152" s="18">
        <f>DATEVALUE(_xlfn.CONCAT("01/",MONTH(Tb_Data[[#This Row],[Start Date]]),"/",YEAR(Tb_Data[[#This Row],[Start Date]])))</f>
        <v>45474</v>
      </c>
      <c r="Q152" s="8" t="str">
        <f>IF(Tb_Data[[#This Row],[Auto Renewal]]="yes","Auto","Manual")</f>
        <v>Manual</v>
      </c>
    </row>
    <row r="153" spans="1:17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  <c r="N153" s="18" cm="1">
        <f t="array" ref="N15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153" s="18" t="str">
        <f>IF(Tb_Data[[#This Row],[Expiration_date]]&lt;C̳álculos!$I$6,"",Tb_Data[[#This Row],[Expiration_date]])</f>
        <v/>
      </c>
      <c r="P153" s="18">
        <f>DATEVALUE(_xlfn.CONCAT("01/",MONTH(Tb_Data[[#This Row],[Start Date]]),"/",YEAR(Tb_Data[[#This Row],[Start Date]])))</f>
        <v>45474</v>
      </c>
      <c r="Q153" s="8" t="str">
        <f>IF(Tb_Data[[#This Row],[Auto Renewal]]="yes","Auto","Manual")</f>
        <v>Auto</v>
      </c>
    </row>
    <row r="154" spans="1:17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  <c r="N154" s="18" cm="1">
        <f t="array" ref="N15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154" s="18" t="str">
        <f>IF(Tb_Data[[#This Row],[Expiration_date]]&lt;C̳álculos!$I$6,"",Tb_Data[[#This Row],[Expiration_date]])</f>
        <v/>
      </c>
      <c r="P154" s="18">
        <f>DATEVALUE(_xlfn.CONCAT("01/",MONTH(Tb_Data[[#This Row],[Start Date]]),"/",YEAR(Tb_Data[[#This Row],[Start Date]])))</f>
        <v>45474</v>
      </c>
      <c r="Q154" s="8" t="str">
        <f>IF(Tb_Data[[#This Row],[Auto Renewal]]="yes","Auto","Manual")</f>
        <v>Manual</v>
      </c>
    </row>
    <row r="155" spans="1:17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  <c r="N155" s="18" cm="1">
        <f t="array" ref="N15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45839</v>
      </c>
      <c r="O155" s="18">
        <f>IF(Tb_Data[[#This Row],[Expiration_date]]&lt;C̳álculos!$I$6,"",Tb_Data[[#This Row],[Expiration_date]])</f>
        <v>45839</v>
      </c>
      <c r="P155" s="18">
        <f>DATEVALUE(_xlfn.CONCAT("01/",MONTH(Tb_Data[[#This Row],[Start Date]]),"/",YEAR(Tb_Data[[#This Row],[Start Date]])))</f>
        <v>45474</v>
      </c>
      <c r="Q155" s="8" t="str">
        <f>IF(Tb_Data[[#This Row],[Auto Renewal]]="yes","Auto","Manual")</f>
        <v>Auto</v>
      </c>
    </row>
    <row r="156" spans="1:17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  <c r="N156" s="18" cm="1">
        <f t="array" ref="N15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156" s="18" t="str">
        <f>IF(Tb_Data[[#This Row],[Expiration_date]]&lt;C̳álculos!$I$6,"",Tb_Data[[#This Row],[Expiration_date]])</f>
        <v/>
      </c>
      <c r="P156" s="18">
        <f>DATEVALUE(_xlfn.CONCAT("01/",MONTH(Tb_Data[[#This Row],[Start Date]]),"/",YEAR(Tb_Data[[#This Row],[Start Date]])))</f>
        <v>45474</v>
      </c>
      <c r="Q156" s="8" t="str">
        <f>IF(Tb_Data[[#This Row],[Auto Renewal]]="yes","Auto","Manual")</f>
        <v>Manual</v>
      </c>
    </row>
    <row r="157" spans="1:17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  <c r="N157" s="18" cm="1">
        <f t="array" ref="N15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157" s="18" t="str">
        <f>IF(Tb_Data[[#This Row],[Expiration_date]]&lt;C̳álculos!$I$6,"",Tb_Data[[#This Row],[Expiration_date]])</f>
        <v/>
      </c>
      <c r="P157" s="18">
        <f>DATEVALUE(_xlfn.CONCAT("01/",MONTH(Tb_Data[[#This Row],[Start Date]]),"/",YEAR(Tb_Data[[#This Row],[Start Date]])))</f>
        <v>45474</v>
      </c>
      <c r="Q157" s="8" t="str">
        <f>IF(Tb_Data[[#This Row],[Auto Renewal]]="yes","Auto","Manual")</f>
        <v>Auto</v>
      </c>
    </row>
    <row r="158" spans="1:17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  <c r="N158" s="18" cm="1">
        <f t="array" ref="N15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45505</v>
      </c>
      <c r="O158" s="18" t="str">
        <f>IF(Tb_Data[[#This Row],[Expiration_date]]&lt;C̳álculos!$I$6,"",Tb_Data[[#This Row],[Expiration_date]])</f>
        <v/>
      </c>
      <c r="P158" s="18">
        <f>DATEVALUE(_xlfn.CONCAT("01/",MONTH(Tb_Data[[#This Row],[Start Date]]),"/",YEAR(Tb_Data[[#This Row],[Start Date]])))</f>
        <v>45474</v>
      </c>
      <c r="Q158" s="8" t="str">
        <f>IF(Tb_Data[[#This Row],[Auto Renewal]]="yes","Auto","Manual")</f>
        <v>Manual</v>
      </c>
    </row>
    <row r="159" spans="1:17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  <c r="N159" s="18" cm="1">
        <f t="array" ref="N15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45870</v>
      </c>
      <c r="O159" s="18">
        <f>IF(Tb_Data[[#This Row],[Expiration_date]]&lt;C̳álculos!$I$6,"",Tb_Data[[#This Row],[Expiration_date]])</f>
        <v>45870</v>
      </c>
      <c r="P159" s="18">
        <f>DATEVALUE(_xlfn.CONCAT("01/",MONTH(Tb_Data[[#This Row],[Start Date]]),"/",YEAR(Tb_Data[[#This Row],[Start Date]])))</f>
        <v>45505</v>
      </c>
      <c r="Q159" s="8" t="str">
        <f>IF(Tb_Data[[#This Row],[Auto Renewal]]="yes","Auto","Manual")</f>
        <v>Auto</v>
      </c>
    </row>
    <row r="160" spans="1:17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  <c r="N160" s="18" cm="1">
        <f t="array" ref="N16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60" s="18" t="str">
        <f>IF(Tb_Data[[#This Row],[Expiration_date]]&lt;C̳álculos!$I$6,"",Tb_Data[[#This Row],[Expiration_date]])</f>
        <v/>
      </c>
      <c r="P160" s="18">
        <f>DATEVALUE(_xlfn.CONCAT("01/",MONTH(Tb_Data[[#This Row],[Start Date]]),"/",YEAR(Tb_Data[[#This Row],[Start Date]])))</f>
        <v>45505</v>
      </c>
      <c r="Q160" s="8" t="str">
        <f>IF(Tb_Data[[#This Row],[Auto Renewal]]="yes","Auto","Manual")</f>
        <v>Manual</v>
      </c>
    </row>
    <row r="161" spans="1:17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  <c r="N161" s="18" cm="1">
        <f t="array" ref="N16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161" s="18" t="str">
        <f>IF(Tb_Data[[#This Row],[Expiration_date]]&lt;C̳álculos!$I$6,"",Tb_Data[[#This Row],[Expiration_date]])</f>
        <v/>
      </c>
      <c r="P161" s="18">
        <f>DATEVALUE(_xlfn.CONCAT("01/",MONTH(Tb_Data[[#This Row],[Start Date]]),"/",YEAR(Tb_Data[[#This Row],[Start Date]])))</f>
        <v>45505</v>
      </c>
      <c r="Q161" s="8" t="str">
        <f>IF(Tb_Data[[#This Row],[Auto Renewal]]="yes","Auto","Manual")</f>
        <v>Auto</v>
      </c>
    </row>
    <row r="162" spans="1:17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  <c r="N162" s="18" cm="1">
        <f t="array" ref="N16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62" s="18" t="str">
        <f>IF(Tb_Data[[#This Row],[Expiration_date]]&lt;C̳álculos!$I$6,"",Tb_Data[[#This Row],[Expiration_date]])</f>
        <v/>
      </c>
      <c r="P162" s="18">
        <f>DATEVALUE(_xlfn.CONCAT("01/",MONTH(Tb_Data[[#This Row],[Start Date]]),"/",YEAR(Tb_Data[[#This Row],[Start Date]])))</f>
        <v>45505</v>
      </c>
      <c r="Q162" s="8" t="str">
        <f>IF(Tb_Data[[#This Row],[Auto Renewal]]="yes","Auto","Manual")</f>
        <v>Manual</v>
      </c>
    </row>
    <row r="163" spans="1:17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  <c r="N163" s="18" cm="1">
        <f t="array" ref="N16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45870</v>
      </c>
      <c r="O163" s="18">
        <f>IF(Tb_Data[[#This Row],[Expiration_date]]&lt;C̳álculos!$I$6,"",Tb_Data[[#This Row],[Expiration_date]])</f>
        <v>45870</v>
      </c>
      <c r="P163" s="18">
        <f>DATEVALUE(_xlfn.CONCAT("01/",MONTH(Tb_Data[[#This Row],[Start Date]]),"/",YEAR(Tb_Data[[#This Row],[Start Date]])))</f>
        <v>45505</v>
      </c>
      <c r="Q163" s="8" t="str">
        <f>IF(Tb_Data[[#This Row],[Auto Renewal]]="yes","Auto","Manual")</f>
        <v>Auto</v>
      </c>
    </row>
    <row r="164" spans="1:17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  <c r="N164" s="18" cm="1">
        <f t="array" ref="N16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64" s="18" t="str">
        <f>IF(Tb_Data[[#This Row],[Expiration_date]]&lt;C̳álculos!$I$6,"",Tb_Data[[#This Row],[Expiration_date]])</f>
        <v/>
      </c>
      <c r="P164" s="18">
        <f>DATEVALUE(_xlfn.CONCAT("01/",MONTH(Tb_Data[[#This Row],[Start Date]]),"/",YEAR(Tb_Data[[#This Row],[Start Date]])))</f>
        <v>45505</v>
      </c>
      <c r="Q164" s="8" t="str">
        <f>IF(Tb_Data[[#This Row],[Auto Renewal]]="yes","Auto","Manual")</f>
        <v>Manual</v>
      </c>
    </row>
    <row r="165" spans="1:17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  <c r="N165" s="18" cm="1">
        <f t="array" ref="N16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165" s="18" t="str">
        <f>IF(Tb_Data[[#This Row],[Expiration_date]]&lt;C̳álculos!$I$6,"",Tb_Data[[#This Row],[Expiration_date]])</f>
        <v/>
      </c>
      <c r="P165" s="18">
        <f>DATEVALUE(_xlfn.CONCAT("01/",MONTH(Tb_Data[[#This Row],[Start Date]]),"/",YEAR(Tb_Data[[#This Row],[Start Date]])))</f>
        <v>45505</v>
      </c>
      <c r="Q165" s="8" t="str">
        <f>IF(Tb_Data[[#This Row],[Auto Renewal]]="yes","Auto","Manual")</f>
        <v>Auto</v>
      </c>
    </row>
    <row r="166" spans="1:17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  <c r="N166" s="18" cm="1">
        <f t="array" ref="N16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66" s="18" t="str">
        <f>IF(Tb_Data[[#This Row],[Expiration_date]]&lt;C̳álculos!$I$6,"",Tb_Data[[#This Row],[Expiration_date]])</f>
        <v/>
      </c>
      <c r="P166" s="18">
        <f>DATEVALUE(_xlfn.CONCAT("01/",MONTH(Tb_Data[[#This Row],[Start Date]]),"/",YEAR(Tb_Data[[#This Row],[Start Date]])))</f>
        <v>45505</v>
      </c>
      <c r="Q166" s="8" t="str">
        <f>IF(Tb_Data[[#This Row],[Auto Renewal]]="yes","Auto","Manual")</f>
        <v>Manual</v>
      </c>
    </row>
    <row r="167" spans="1:17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  <c r="N167" s="18" cm="1">
        <f t="array" ref="N16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45870</v>
      </c>
      <c r="O167" s="18">
        <f>IF(Tb_Data[[#This Row],[Expiration_date]]&lt;C̳álculos!$I$6,"",Tb_Data[[#This Row],[Expiration_date]])</f>
        <v>45870</v>
      </c>
      <c r="P167" s="18">
        <f>DATEVALUE(_xlfn.CONCAT("01/",MONTH(Tb_Data[[#This Row],[Start Date]]),"/",YEAR(Tb_Data[[#This Row],[Start Date]])))</f>
        <v>45505</v>
      </c>
      <c r="Q167" s="8" t="str">
        <f>IF(Tb_Data[[#This Row],[Auto Renewal]]="yes","Auto","Manual")</f>
        <v>Auto</v>
      </c>
    </row>
    <row r="168" spans="1:17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  <c r="N168" s="18" cm="1">
        <f t="array" ref="N16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68" s="18" t="str">
        <f>IF(Tb_Data[[#This Row],[Expiration_date]]&lt;C̳álculos!$I$6,"",Tb_Data[[#This Row],[Expiration_date]])</f>
        <v/>
      </c>
      <c r="P168" s="18">
        <f>DATEVALUE(_xlfn.CONCAT("01/",MONTH(Tb_Data[[#This Row],[Start Date]]),"/",YEAR(Tb_Data[[#This Row],[Start Date]])))</f>
        <v>45505</v>
      </c>
      <c r="Q168" s="8" t="str">
        <f>IF(Tb_Data[[#This Row],[Auto Renewal]]="yes","Auto","Manual")</f>
        <v>Manual</v>
      </c>
    </row>
    <row r="169" spans="1:17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  <c r="N169" s="18" cm="1">
        <f t="array" ref="N16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169" s="18" t="str">
        <f>IF(Tb_Data[[#This Row],[Expiration_date]]&lt;C̳álculos!$I$6,"",Tb_Data[[#This Row],[Expiration_date]])</f>
        <v/>
      </c>
      <c r="P169" s="18">
        <f>DATEVALUE(_xlfn.CONCAT("01/",MONTH(Tb_Data[[#This Row],[Start Date]]),"/",YEAR(Tb_Data[[#This Row],[Start Date]])))</f>
        <v>45505</v>
      </c>
      <c r="Q169" s="8" t="str">
        <f>IF(Tb_Data[[#This Row],[Auto Renewal]]="yes","Auto","Manual")</f>
        <v>Auto</v>
      </c>
    </row>
    <row r="170" spans="1:17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  <c r="N170" s="18" cm="1">
        <f t="array" ref="N17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70" s="18" t="str">
        <f>IF(Tb_Data[[#This Row],[Expiration_date]]&lt;C̳álculos!$I$6,"",Tb_Data[[#This Row],[Expiration_date]])</f>
        <v/>
      </c>
      <c r="P170" s="18">
        <f>DATEVALUE(_xlfn.CONCAT("01/",MONTH(Tb_Data[[#This Row],[Start Date]]),"/",YEAR(Tb_Data[[#This Row],[Start Date]])))</f>
        <v>45505</v>
      </c>
      <c r="Q170" s="8" t="str">
        <f>IF(Tb_Data[[#This Row],[Auto Renewal]]="yes","Auto","Manual")</f>
        <v>Manual</v>
      </c>
    </row>
    <row r="171" spans="1:17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  <c r="N171" s="18" cm="1">
        <f t="array" ref="N17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45870</v>
      </c>
      <c r="O171" s="18">
        <f>IF(Tb_Data[[#This Row],[Expiration_date]]&lt;C̳álculos!$I$6,"",Tb_Data[[#This Row],[Expiration_date]])</f>
        <v>45870</v>
      </c>
      <c r="P171" s="18">
        <f>DATEVALUE(_xlfn.CONCAT("01/",MONTH(Tb_Data[[#This Row],[Start Date]]),"/",YEAR(Tb_Data[[#This Row],[Start Date]])))</f>
        <v>45505</v>
      </c>
      <c r="Q171" s="8" t="str">
        <f>IF(Tb_Data[[#This Row],[Auto Renewal]]="yes","Auto","Manual")</f>
        <v>Auto</v>
      </c>
    </row>
    <row r="172" spans="1:17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  <c r="N172" s="18" cm="1">
        <f t="array" ref="N17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72" s="18" t="str">
        <f>IF(Tb_Data[[#This Row],[Expiration_date]]&lt;C̳álculos!$I$6,"",Tb_Data[[#This Row],[Expiration_date]])</f>
        <v/>
      </c>
      <c r="P172" s="18">
        <f>DATEVALUE(_xlfn.CONCAT("01/",MONTH(Tb_Data[[#This Row],[Start Date]]),"/",YEAR(Tb_Data[[#This Row],[Start Date]])))</f>
        <v>45505</v>
      </c>
      <c r="Q172" s="8" t="str">
        <f>IF(Tb_Data[[#This Row],[Auto Renewal]]="yes","Auto","Manual")</f>
        <v>Manual</v>
      </c>
    </row>
    <row r="173" spans="1:17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  <c r="N173" s="18" cm="1">
        <f t="array" ref="N17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173" s="18" t="str">
        <f>IF(Tb_Data[[#This Row],[Expiration_date]]&lt;C̳álculos!$I$6,"",Tb_Data[[#This Row],[Expiration_date]])</f>
        <v/>
      </c>
      <c r="P173" s="18">
        <f>DATEVALUE(_xlfn.CONCAT("01/",MONTH(Tb_Data[[#This Row],[Start Date]]),"/",YEAR(Tb_Data[[#This Row],[Start Date]])))</f>
        <v>45505</v>
      </c>
      <c r="Q173" s="8" t="str">
        <f>IF(Tb_Data[[#This Row],[Auto Renewal]]="yes","Auto","Manual")</f>
        <v>Auto</v>
      </c>
    </row>
    <row r="174" spans="1:17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  <c r="N174" s="18" cm="1">
        <f t="array" ref="N17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74" s="18" t="str">
        <f>IF(Tb_Data[[#This Row],[Expiration_date]]&lt;C̳álculos!$I$6,"",Tb_Data[[#This Row],[Expiration_date]])</f>
        <v/>
      </c>
      <c r="P174" s="18">
        <f>DATEVALUE(_xlfn.CONCAT("01/",MONTH(Tb_Data[[#This Row],[Start Date]]),"/",YEAR(Tb_Data[[#This Row],[Start Date]])))</f>
        <v>45505</v>
      </c>
      <c r="Q174" s="8" t="str">
        <f>IF(Tb_Data[[#This Row],[Auto Renewal]]="yes","Auto","Manual")</f>
        <v>Manual</v>
      </c>
    </row>
    <row r="175" spans="1:17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  <c r="N175" s="18" cm="1">
        <f t="array" ref="N17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45870</v>
      </c>
      <c r="O175" s="18">
        <f>IF(Tb_Data[[#This Row],[Expiration_date]]&lt;C̳álculos!$I$6,"",Tb_Data[[#This Row],[Expiration_date]])</f>
        <v>45870</v>
      </c>
      <c r="P175" s="18">
        <f>DATEVALUE(_xlfn.CONCAT("01/",MONTH(Tb_Data[[#This Row],[Start Date]]),"/",YEAR(Tb_Data[[#This Row],[Start Date]])))</f>
        <v>45505</v>
      </c>
      <c r="Q175" s="8" t="str">
        <f>IF(Tb_Data[[#This Row],[Auto Renewal]]="yes","Auto","Manual")</f>
        <v>Auto</v>
      </c>
    </row>
    <row r="176" spans="1:17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  <c r="N176" s="18" cm="1">
        <f t="array" ref="N17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76" s="18" t="str">
        <f>IF(Tb_Data[[#This Row],[Expiration_date]]&lt;C̳álculos!$I$6,"",Tb_Data[[#This Row],[Expiration_date]])</f>
        <v/>
      </c>
      <c r="P176" s="18">
        <f>DATEVALUE(_xlfn.CONCAT("01/",MONTH(Tb_Data[[#This Row],[Start Date]]),"/",YEAR(Tb_Data[[#This Row],[Start Date]])))</f>
        <v>45505</v>
      </c>
      <c r="Q176" s="8" t="str">
        <f>IF(Tb_Data[[#This Row],[Auto Renewal]]="yes","Auto","Manual")</f>
        <v>Manual</v>
      </c>
    </row>
    <row r="177" spans="1:17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  <c r="N177" s="18" cm="1">
        <f t="array" ref="N17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77" s="18" t="str">
        <f>IF(Tb_Data[[#This Row],[Expiration_date]]&lt;C̳álculos!$I$6,"",Tb_Data[[#This Row],[Expiration_date]])</f>
        <v/>
      </c>
      <c r="P177" s="18">
        <f>DATEVALUE(_xlfn.CONCAT("01/",MONTH(Tb_Data[[#This Row],[Start Date]]),"/",YEAR(Tb_Data[[#This Row],[Start Date]])))</f>
        <v>45505</v>
      </c>
      <c r="Q177" s="8" t="str">
        <f>IF(Tb_Data[[#This Row],[Auto Renewal]]="yes","Auto","Manual")</f>
        <v>Auto</v>
      </c>
    </row>
    <row r="178" spans="1:17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  <c r="N178" s="18" cm="1">
        <f t="array" ref="N17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178" s="18" t="str">
        <f>IF(Tb_Data[[#This Row],[Expiration_date]]&lt;C̳álculos!$I$6,"",Tb_Data[[#This Row],[Expiration_date]])</f>
        <v/>
      </c>
      <c r="P178" s="18">
        <f>DATEVALUE(_xlfn.CONCAT("01/",MONTH(Tb_Data[[#This Row],[Start Date]]),"/",YEAR(Tb_Data[[#This Row],[Start Date]])))</f>
        <v>45505</v>
      </c>
      <c r="Q178" s="8" t="str">
        <f>IF(Tb_Data[[#This Row],[Auto Renewal]]="yes","Auto","Manual")</f>
        <v>Manual</v>
      </c>
    </row>
    <row r="179" spans="1:17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  <c r="N179" s="18" cm="1">
        <f t="array" ref="N17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45870</v>
      </c>
      <c r="O179" s="18">
        <f>IF(Tb_Data[[#This Row],[Expiration_date]]&lt;C̳álculos!$I$6,"",Tb_Data[[#This Row],[Expiration_date]])</f>
        <v>45870</v>
      </c>
      <c r="P179" s="18">
        <f>DATEVALUE(_xlfn.CONCAT("01/",MONTH(Tb_Data[[#This Row],[Start Date]]),"/",YEAR(Tb_Data[[#This Row],[Start Date]])))</f>
        <v>45505</v>
      </c>
      <c r="Q179" s="8" t="str">
        <f>IF(Tb_Data[[#This Row],[Auto Renewal]]="yes","Auto","Manual")</f>
        <v>Auto</v>
      </c>
    </row>
    <row r="180" spans="1:17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  <c r="N180" s="18" cm="1">
        <f t="array" ref="N18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180" s="18" t="str">
        <f>IF(Tb_Data[[#This Row],[Expiration_date]]&lt;C̳álculos!$I$6,"",Tb_Data[[#This Row],[Expiration_date]])</f>
        <v/>
      </c>
      <c r="P180" s="18">
        <f>DATEVALUE(_xlfn.CONCAT("01/",MONTH(Tb_Data[[#This Row],[Start Date]]),"/",YEAR(Tb_Data[[#This Row],[Start Date]])))</f>
        <v>45505</v>
      </c>
      <c r="Q180" s="8" t="str">
        <f>IF(Tb_Data[[#This Row],[Auto Renewal]]="yes","Auto","Manual")</f>
        <v>Manual</v>
      </c>
    </row>
    <row r="181" spans="1:17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  <c r="N181" s="18" cm="1">
        <f t="array" ref="N18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81" s="18" t="str">
        <f>IF(Tb_Data[[#This Row],[Expiration_date]]&lt;C̳álculos!$I$6,"",Tb_Data[[#This Row],[Expiration_date]])</f>
        <v/>
      </c>
      <c r="P181" s="18">
        <f>DATEVALUE(_xlfn.CONCAT("01/",MONTH(Tb_Data[[#This Row],[Start Date]]),"/",YEAR(Tb_Data[[#This Row],[Start Date]])))</f>
        <v>45505</v>
      </c>
      <c r="Q181" s="8" t="str">
        <f>IF(Tb_Data[[#This Row],[Auto Renewal]]="yes","Auto","Manual")</f>
        <v>Auto</v>
      </c>
    </row>
    <row r="182" spans="1:17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  <c r="N182" s="18" cm="1">
        <f t="array" ref="N18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82" s="18" t="str">
        <f>IF(Tb_Data[[#This Row],[Expiration_date]]&lt;C̳álculos!$I$6,"",Tb_Data[[#This Row],[Expiration_date]])</f>
        <v/>
      </c>
      <c r="P182" s="18">
        <f>DATEVALUE(_xlfn.CONCAT("01/",MONTH(Tb_Data[[#This Row],[Start Date]]),"/",YEAR(Tb_Data[[#This Row],[Start Date]])))</f>
        <v>45505</v>
      </c>
      <c r="Q182" s="8" t="str">
        <f>IF(Tb_Data[[#This Row],[Auto Renewal]]="yes","Auto","Manual")</f>
        <v>Manual</v>
      </c>
    </row>
    <row r="183" spans="1:17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  <c r="N183" s="18" cm="1">
        <f t="array" ref="N18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45870</v>
      </c>
      <c r="O183" s="18">
        <f>IF(Tb_Data[[#This Row],[Expiration_date]]&lt;C̳álculos!$I$6,"",Tb_Data[[#This Row],[Expiration_date]])</f>
        <v>45870</v>
      </c>
      <c r="P183" s="18">
        <f>DATEVALUE(_xlfn.CONCAT("01/",MONTH(Tb_Data[[#This Row],[Start Date]]),"/",YEAR(Tb_Data[[#This Row],[Start Date]])))</f>
        <v>45505</v>
      </c>
      <c r="Q183" s="8" t="str">
        <f>IF(Tb_Data[[#This Row],[Auto Renewal]]="yes","Auto","Manual")</f>
        <v>Auto</v>
      </c>
    </row>
    <row r="184" spans="1:17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  <c r="N184" s="18" cm="1">
        <f t="array" ref="N18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184" s="18" t="str">
        <f>IF(Tb_Data[[#This Row],[Expiration_date]]&lt;C̳álculos!$I$6,"",Tb_Data[[#This Row],[Expiration_date]])</f>
        <v/>
      </c>
      <c r="P184" s="18">
        <f>DATEVALUE(_xlfn.CONCAT("01/",MONTH(Tb_Data[[#This Row],[Start Date]]),"/",YEAR(Tb_Data[[#This Row],[Start Date]])))</f>
        <v>45505</v>
      </c>
      <c r="Q184" s="8" t="str">
        <f>IF(Tb_Data[[#This Row],[Auto Renewal]]="yes","Auto","Manual")</f>
        <v>Manual</v>
      </c>
    </row>
    <row r="185" spans="1:17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  <c r="N185" s="18" cm="1">
        <f t="array" ref="N18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185" s="18" t="str">
        <f>IF(Tb_Data[[#This Row],[Expiration_date]]&lt;C̳álculos!$I$6,"",Tb_Data[[#This Row],[Expiration_date]])</f>
        <v/>
      </c>
      <c r="P185" s="18">
        <f>DATEVALUE(_xlfn.CONCAT("01/",MONTH(Tb_Data[[#This Row],[Start Date]]),"/",YEAR(Tb_Data[[#This Row],[Start Date]])))</f>
        <v>45505</v>
      </c>
      <c r="Q185" s="8" t="str">
        <f>IF(Tb_Data[[#This Row],[Auto Renewal]]="yes","Auto","Manual")</f>
        <v>Auto</v>
      </c>
    </row>
    <row r="186" spans="1:17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  <c r="N186" s="18" cm="1">
        <f t="array" ref="N18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86" s="18" t="str">
        <f>IF(Tb_Data[[#This Row],[Expiration_date]]&lt;C̳álculos!$I$6,"",Tb_Data[[#This Row],[Expiration_date]])</f>
        <v/>
      </c>
      <c r="P186" s="18">
        <f>DATEVALUE(_xlfn.CONCAT("01/",MONTH(Tb_Data[[#This Row],[Start Date]]),"/",YEAR(Tb_Data[[#This Row],[Start Date]])))</f>
        <v>45505</v>
      </c>
      <c r="Q186" s="8" t="str">
        <f>IF(Tb_Data[[#This Row],[Auto Renewal]]="yes","Auto","Manual")</f>
        <v>Manual</v>
      </c>
    </row>
    <row r="187" spans="1:17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  <c r="N187" s="18" cm="1">
        <f t="array" ref="N18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45870</v>
      </c>
      <c r="O187" s="18">
        <f>IF(Tb_Data[[#This Row],[Expiration_date]]&lt;C̳álculos!$I$6,"",Tb_Data[[#This Row],[Expiration_date]])</f>
        <v>45870</v>
      </c>
      <c r="P187" s="18">
        <f>DATEVALUE(_xlfn.CONCAT("01/",MONTH(Tb_Data[[#This Row],[Start Date]]),"/",YEAR(Tb_Data[[#This Row],[Start Date]])))</f>
        <v>45505</v>
      </c>
      <c r="Q187" s="8" t="str">
        <f>IF(Tb_Data[[#This Row],[Auto Renewal]]="yes","Auto","Manual")</f>
        <v>Auto</v>
      </c>
    </row>
    <row r="188" spans="1:17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  <c r="N188" s="18" cm="1">
        <f t="array" ref="N18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45536</v>
      </c>
      <c r="O188" s="18" t="str">
        <f>IF(Tb_Data[[#This Row],[Expiration_date]]&lt;C̳álculos!$I$6,"",Tb_Data[[#This Row],[Expiration_date]])</f>
        <v/>
      </c>
      <c r="P188" s="18">
        <f>DATEVALUE(_xlfn.CONCAT("01/",MONTH(Tb_Data[[#This Row],[Start Date]]),"/",YEAR(Tb_Data[[#This Row],[Start Date]])))</f>
        <v>45505</v>
      </c>
      <c r="Q188" s="8" t="str">
        <f>IF(Tb_Data[[#This Row],[Auto Renewal]]="yes","Auto","Manual")</f>
        <v>Manual</v>
      </c>
    </row>
    <row r="189" spans="1:17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  <c r="N189" s="18" cm="1">
        <f t="array" ref="N18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189" s="18" t="str">
        <f>IF(Tb_Data[[#This Row],[Expiration_date]]&lt;C̳álculos!$I$6,"",Tb_Data[[#This Row],[Expiration_date]])</f>
        <v/>
      </c>
      <c r="P189" s="18">
        <f>DATEVALUE(_xlfn.CONCAT("01/",MONTH(Tb_Data[[#This Row],[Start Date]]),"/",YEAR(Tb_Data[[#This Row],[Start Date]])))</f>
        <v>45505</v>
      </c>
      <c r="Q189" s="8" t="str">
        <f>IF(Tb_Data[[#This Row],[Auto Renewal]]="yes","Auto","Manual")</f>
        <v>Auto</v>
      </c>
    </row>
    <row r="190" spans="1:17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  <c r="N190" s="18" cm="1">
        <f t="array" ref="N19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190" s="18" t="str">
        <f>IF(Tb_Data[[#This Row],[Expiration_date]]&lt;C̳álculos!$I$6,"",Tb_Data[[#This Row],[Expiration_date]])</f>
        <v/>
      </c>
      <c r="P190" s="18">
        <f>DATEVALUE(_xlfn.CONCAT("01/",MONTH(Tb_Data[[#This Row],[Start Date]]),"/",YEAR(Tb_Data[[#This Row],[Start Date]])))</f>
        <v>45536</v>
      </c>
      <c r="Q190" s="8" t="str">
        <f>IF(Tb_Data[[#This Row],[Auto Renewal]]="yes","Auto","Manual")</f>
        <v>Manual</v>
      </c>
    </row>
    <row r="191" spans="1:17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  <c r="N191" s="18" cm="1">
        <f t="array" ref="N19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45901</v>
      </c>
      <c r="O191" s="18">
        <f>IF(Tb_Data[[#This Row],[Expiration_date]]&lt;C̳álculos!$I$6,"",Tb_Data[[#This Row],[Expiration_date]])</f>
        <v>45901</v>
      </c>
      <c r="P191" s="18">
        <f>DATEVALUE(_xlfn.CONCAT("01/",MONTH(Tb_Data[[#This Row],[Start Date]]),"/",YEAR(Tb_Data[[#This Row],[Start Date]])))</f>
        <v>45536</v>
      </c>
      <c r="Q191" s="8" t="str">
        <f>IF(Tb_Data[[#This Row],[Auto Renewal]]="yes","Auto","Manual")</f>
        <v>Auto</v>
      </c>
    </row>
    <row r="192" spans="1:17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  <c r="N192" s="18" cm="1">
        <f t="array" ref="N19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192" s="18" t="str">
        <f>IF(Tb_Data[[#This Row],[Expiration_date]]&lt;C̳álculos!$I$6,"",Tb_Data[[#This Row],[Expiration_date]])</f>
        <v/>
      </c>
      <c r="P192" s="18">
        <f>DATEVALUE(_xlfn.CONCAT("01/",MONTH(Tb_Data[[#This Row],[Start Date]]),"/",YEAR(Tb_Data[[#This Row],[Start Date]])))</f>
        <v>45536</v>
      </c>
      <c r="Q192" s="8" t="str">
        <f>IF(Tb_Data[[#This Row],[Auto Renewal]]="yes","Auto","Manual")</f>
        <v>Manual</v>
      </c>
    </row>
    <row r="193" spans="1:17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  <c r="N193" s="18" cm="1">
        <f t="array" ref="N19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193" s="18">
        <f>IF(Tb_Data[[#This Row],[Expiration_date]]&lt;C̳álculos!$I$6,"",Tb_Data[[#This Row],[Expiration_date]])</f>
        <v>45627</v>
      </c>
      <c r="P193" s="18">
        <f>DATEVALUE(_xlfn.CONCAT("01/",MONTH(Tb_Data[[#This Row],[Start Date]]),"/",YEAR(Tb_Data[[#This Row],[Start Date]])))</f>
        <v>45536</v>
      </c>
      <c r="Q193" s="8" t="str">
        <f>IF(Tb_Data[[#This Row],[Auto Renewal]]="yes","Auto","Manual")</f>
        <v>Auto</v>
      </c>
    </row>
    <row r="194" spans="1:17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  <c r="N194" s="18" cm="1">
        <f t="array" ref="N19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194" s="18" t="str">
        <f>IF(Tb_Data[[#This Row],[Expiration_date]]&lt;C̳álculos!$I$6,"",Tb_Data[[#This Row],[Expiration_date]])</f>
        <v/>
      </c>
      <c r="P194" s="18">
        <f>DATEVALUE(_xlfn.CONCAT("01/",MONTH(Tb_Data[[#This Row],[Start Date]]),"/",YEAR(Tb_Data[[#This Row],[Start Date]])))</f>
        <v>45536</v>
      </c>
      <c r="Q194" s="8" t="str">
        <f>IF(Tb_Data[[#This Row],[Auto Renewal]]="yes","Auto","Manual")</f>
        <v>Manual</v>
      </c>
    </row>
    <row r="195" spans="1:17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  <c r="N195" s="18" cm="1">
        <f t="array" ref="N19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45901</v>
      </c>
      <c r="O195" s="18">
        <f>IF(Tb_Data[[#This Row],[Expiration_date]]&lt;C̳álculos!$I$6,"",Tb_Data[[#This Row],[Expiration_date]])</f>
        <v>45901</v>
      </c>
      <c r="P195" s="18">
        <f>DATEVALUE(_xlfn.CONCAT("01/",MONTH(Tb_Data[[#This Row],[Start Date]]),"/",YEAR(Tb_Data[[#This Row],[Start Date]])))</f>
        <v>45536</v>
      </c>
      <c r="Q195" s="8" t="str">
        <f>IF(Tb_Data[[#This Row],[Auto Renewal]]="yes","Auto","Manual")</f>
        <v>Auto</v>
      </c>
    </row>
    <row r="196" spans="1:17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  <c r="N196" s="18" cm="1">
        <f t="array" ref="N19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196" s="18" t="str">
        <f>IF(Tb_Data[[#This Row],[Expiration_date]]&lt;C̳álculos!$I$6,"",Tb_Data[[#This Row],[Expiration_date]])</f>
        <v/>
      </c>
      <c r="P196" s="18">
        <f>DATEVALUE(_xlfn.CONCAT("01/",MONTH(Tb_Data[[#This Row],[Start Date]]),"/",YEAR(Tb_Data[[#This Row],[Start Date]])))</f>
        <v>45536</v>
      </c>
      <c r="Q196" s="8" t="str">
        <f>IF(Tb_Data[[#This Row],[Auto Renewal]]="yes","Auto","Manual")</f>
        <v>Manual</v>
      </c>
    </row>
    <row r="197" spans="1:17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  <c r="N197" s="18" cm="1">
        <f t="array" ref="N19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197" s="18">
        <f>IF(Tb_Data[[#This Row],[Expiration_date]]&lt;C̳álculos!$I$6,"",Tb_Data[[#This Row],[Expiration_date]])</f>
        <v>45627</v>
      </c>
      <c r="P197" s="18">
        <f>DATEVALUE(_xlfn.CONCAT("01/",MONTH(Tb_Data[[#This Row],[Start Date]]),"/",YEAR(Tb_Data[[#This Row],[Start Date]])))</f>
        <v>45536</v>
      </c>
      <c r="Q197" s="8" t="str">
        <f>IF(Tb_Data[[#This Row],[Auto Renewal]]="yes","Auto","Manual")</f>
        <v>Auto</v>
      </c>
    </row>
    <row r="198" spans="1:17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  <c r="N198" s="18" cm="1">
        <f t="array" ref="N19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198" s="18" t="str">
        <f>IF(Tb_Data[[#This Row],[Expiration_date]]&lt;C̳álculos!$I$6,"",Tb_Data[[#This Row],[Expiration_date]])</f>
        <v/>
      </c>
      <c r="P198" s="18">
        <f>DATEVALUE(_xlfn.CONCAT("01/",MONTH(Tb_Data[[#This Row],[Start Date]]),"/",YEAR(Tb_Data[[#This Row],[Start Date]])))</f>
        <v>45536</v>
      </c>
      <c r="Q198" s="8" t="str">
        <f>IF(Tb_Data[[#This Row],[Auto Renewal]]="yes","Auto","Manual")</f>
        <v>Manual</v>
      </c>
    </row>
    <row r="199" spans="1:17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  <c r="N199" s="18" cm="1">
        <f t="array" ref="N19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45901</v>
      </c>
      <c r="O199" s="18">
        <f>IF(Tb_Data[[#This Row],[Expiration_date]]&lt;C̳álculos!$I$6,"",Tb_Data[[#This Row],[Expiration_date]])</f>
        <v>45901</v>
      </c>
      <c r="P199" s="18">
        <f>DATEVALUE(_xlfn.CONCAT("01/",MONTH(Tb_Data[[#This Row],[Start Date]]),"/",YEAR(Tb_Data[[#This Row],[Start Date]])))</f>
        <v>45536</v>
      </c>
      <c r="Q199" s="8" t="str">
        <f>IF(Tb_Data[[#This Row],[Auto Renewal]]="yes","Auto","Manual")</f>
        <v>Auto</v>
      </c>
    </row>
    <row r="200" spans="1:17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  <c r="N200" s="18" cm="1">
        <f t="array" ref="N20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200" s="18" t="str">
        <f>IF(Tb_Data[[#This Row],[Expiration_date]]&lt;C̳álculos!$I$6,"",Tb_Data[[#This Row],[Expiration_date]])</f>
        <v/>
      </c>
      <c r="P200" s="18">
        <f>DATEVALUE(_xlfn.CONCAT("01/",MONTH(Tb_Data[[#This Row],[Start Date]]),"/",YEAR(Tb_Data[[#This Row],[Start Date]])))</f>
        <v>45536</v>
      </c>
      <c r="Q200" s="8" t="str">
        <f>IF(Tb_Data[[#This Row],[Auto Renewal]]="yes","Auto","Manual")</f>
        <v>Manual</v>
      </c>
    </row>
    <row r="201" spans="1:17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  <c r="N201" s="18" cm="1">
        <f t="array" ref="N20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201" s="18">
        <f>IF(Tb_Data[[#This Row],[Expiration_date]]&lt;C̳álculos!$I$6,"",Tb_Data[[#This Row],[Expiration_date]])</f>
        <v>45627</v>
      </c>
      <c r="P201" s="18">
        <f>DATEVALUE(_xlfn.CONCAT("01/",MONTH(Tb_Data[[#This Row],[Start Date]]),"/",YEAR(Tb_Data[[#This Row],[Start Date]])))</f>
        <v>45536</v>
      </c>
      <c r="Q201" s="8" t="str">
        <f>IF(Tb_Data[[#This Row],[Auto Renewal]]="yes","Auto","Manual")</f>
        <v>Auto</v>
      </c>
    </row>
    <row r="202" spans="1:17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  <c r="N202" s="18" cm="1">
        <f t="array" ref="N20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202" s="18" t="str">
        <f>IF(Tb_Data[[#This Row],[Expiration_date]]&lt;C̳álculos!$I$6,"",Tb_Data[[#This Row],[Expiration_date]])</f>
        <v/>
      </c>
      <c r="P202" s="18">
        <f>DATEVALUE(_xlfn.CONCAT("01/",MONTH(Tb_Data[[#This Row],[Start Date]]),"/",YEAR(Tb_Data[[#This Row],[Start Date]])))</f>
        <v>45536</v>
      </c>
      <c r="Q202" s="8" t="str">
        <f>IF(Tb_Data[[#This Row],[Auto Renewal]]="yes","Auto","Manual")</f>
        <v>Manual</v>
      </c>
    </row>
    <row r="203" spans="1:17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  <c r="N203" s="18" cm="1">
        <f t="array" ref="N20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45901</v>
      </c>
      <c r="O203" s="18">
        <f>IF(Tb_Data[[#This Row],[Expiration_date]]&lt;C̳álculos!$I$6,"",Tb_Data[[#This Row],[Expiration_date]])</f>
        <v>45901</v>
      </c>
      <c r="P203" s="18">
        <f>DATEVALUE(_xlfn.CONCAT("01/",MONTH(Tb_Data[[#This Row],[Start Date]]),"/",YEAR(Tb_Data[[#This Row],[Start Date]])))</f>
        <v>45536</v>
      </c>
      <c r="Q203" s="8" t="str">
        <f>IF(Tb_Data[[#This Row],[Auto Renewal]]="yes","Auto","Manual")</f>
        <v>Auto</v>
      </c>
    </row>
    <row r="204" spans="1:17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  <c r="N204" s="18" cm="1">
        <f t="array" ref="N20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204" s="18" t="str">
        <f>IF(Tb_Data[[#This Row],[Expiration_date]]&lt;C̳álculos!$I$6,"",Tb_Data[[#This Row],[Expiration_date]])</f>
        <v/>
      </c>
      <c r="P204" s="18">
        <f>DATEVALUE(_xlfn.CONCAT("01/",MONTH(Tb_Data[[#This Row],[Start Date]]),"/",YEAR(Tb_Data[[#This Row],[Start Date]])))</f>
        <v>45536</v>
      </c>
      <c r="Q204" s="8" t="str">
        <f>IF(Tb_Data[[#This Row],[Auto Renewal]]="yes","Auto","Manual")</f>
        <v>Manual</v>
      </c>
    </row>
    <row r="205" spans="1:17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  <c r="N205" s="18" cm="1">
        <f t="array" ref="N20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205" s="18">
        <f>IF(Tb_Data[[#This Row],[Expiration_date]]&lt;C̳álculos!$I$6,"",Tb_Data[[#This Row],[Expiration_date]])</f>
        <v>45627</v>
      </c>
      <c r="P205" s="18">
        <f>DATEVALUE(_xlfn.CONCAT("01/",MONTH(Tb_Data[[#This Row],[Start Date]]),"/",YEAR(Tb_Data[[#This Row],[Start Date]])))</f>
        <v>45536</v>
      </c>
      <c r="Q205" s="8" t="str">
        <f>IF(Tb_Data[[#This Row],[Auto Renewal]]="yes","Auto","Manual")</f>
        <v>Auto</v>
      </c>
    </row>
    <row r="206" spans="1:17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  <c r="N206" s="18" cm="1">
        <f t="array" ref="N20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206" s="18" t="str">
        <f>IF(Tb_Data[[#This Row],[Expiration_date]]&lt;C̳álculos!$I$6,"",Tb_Data[[#This Row],[Expiration_date]])</f>
        <v/>
      </c>
      <c r="P206" s="18">
        <f>DATEVALUE(_xlfn.CONCAT("01/",MONTH(Tb_Data[[#This Row],[Start Date]]),"/",YEAR(Tb_Data[[#This Row],[Start Date]])))</f>
        <v>45536</v>
      </c>
      <c r="Q206" s="8" t="str">
        <f>IF(Tb_Data[[#This Row],[Auto Renewal]]="yes","Auto","Manual")</f>
        <v>Manual</v>
      </c>
    </row>
    <row r="207" spans="1:17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  <c r="N207" s="18" cm="1">
        <f t="array" ref="N20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207" s="18" t="str">
        <f>IF(Tb_Data[[#This Row],[Expiration_date]]&lt;C̳álculos!$I$6,"",Tb_Data[[#This Row],[Expiration_date]])</f>
        <v/>
      </c>
      <c r="P207" s="18">
        <f>DATEVALUE(_xlfn.CONCAT("01/",MONTH(Tb_Data[[#This Row],[Start Date]]),"/",YEAR(Tb_Data[[#This Row],[Start Date]])))</f>
        <v>45536</v>
      </c>
      <c r="Q207" s="8" t="str">
        <f>IF(Tb_Data[[#This Row],[Auto Renewal]]="yes","Auto","Manual")</f>
        <v>Auto</v>
      </c>
    </row>
    <row r="208" spans="1:17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  <c r="N208" s="18" cm="1">
        <f t="array" ref="N20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208" s="18">
        <f>IF(Tb_Data[[#This Row],[Expiration_date]]&lt;C̳álculos!$I$6,"",Tb_Data[[#This Row],[Expiration_date]])</f>
        <v>45627</v>
      </c>
      <c r="P208" s="18">
        <f>DATEVALUE(_xlfn.CONCAT("01/",MONTH(Tb_Data[[#This Row],[Start Date]]),"/",YEAR(Tb_Data[[#This Row],[Start Date]])))</f>
        <v>45536</v>
      </c>
      <c r="Q208" s="8" t="str">
        <f>IF(Tb_Data[[#This Row],[Auto Renewal]]="yes","Auto","Manual")</f>
        <v>Manual</v>
      </c>
    </row>
    <row r="209" spans="1:17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  <c r="N209" s="18" cm="1">
        <f t="array" ref="N20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45901</v>
      </c>
      <c r="O209" s="18">
        <f>IF(Tb_Data[[#This Row],[Expiration_date]]&lt;C̳álculos!$I$6,"",Tb_Data[[#This Row],[Expiration_date]])</f>
        <v>45901</v>
      </c>
      <c r="P209" s="18">
        <f>DATEVALUE(_xlfn.CONCAT("01/",MONTH(Tb_Data[[#This Row],[Start Date]]),"/",YEAR(Tb_Data[[#This Row],[Start Date]])))</f>
        <v>45536</v>
      </c>
      <c r="Q209" s="8" t="str">
        <f>IF(Tb_Data[[#This Row],[Auto Renewal]]="yes","Auto","Manual")</f>
        <v>Auto</v>
      </c>
    </row>
    <row r="210" spans="1:17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  <c r="N210" s="18" cm="1">
        <f t="array" ref="N21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210" s="18">
        <f>IF(Tb_Data[[#This Row],[Expiration_date]]&lt;C̳álculos!$I$6,"",Tb_Data[[#This Row],[Expiration_date]])</f>
        <v>45627</v>
      </c>
      <c r="P210" s="18">
        <f>DATEVALUE(_xlfn.CONCAT("01/",MONTH(Tb_Data[[#This Row],[Start Date]]),"/",YEAR(Tb_Data[[#This Row],[Start Date]])))</f>
        <v>45536</v>
      </c>
      <c r="Q210" s="8" t="str">
        <f>IF(Tb_Data[[#This Row],[Auto Renewal]]="yes","Auto","Manual")</f>
        <v>Manual</v>
      </c>
    </row>
    <row r="211" spans="1:17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  <c r="N211" s="18" cm="1">
        <f t="array" ref="N21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211" s="18" t="str">
        <f>IF(Tb_Data[[#This Row],[Expiration_date]]&lt;C̳álculos!$I$6,"",Tb_Data[[#This Row],[Expiration_date]])</f>
        <v/>
      </c>
      <c r="P211" s="18">
        <f>DATEVALUE(_xlfn.CONCAT("01/",MONTH(Tb_Data[[#This Row],[Start Date]]),"/",YEAR(Tb_Data[[#This Row],[Start Date]])))</f>
        <v>45536</v>
      </c>
      <c r="Q211" s="8" t="str">
        <f>IF(Tb_Data[[#This Row],[Auto Renewal]]="yes","Auto","Manual")</f>
        <v>Auto</v>
      </c>
    </row>
    <row r="212" spans="1:17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  <c r="N212" s="18" cm="1">
        <f t="array" ref="N21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212" s="18" t="str">
        <f>IF(Tb_Data[[#This Row],[Expiration_date]]&lt;C̳álculos!$I$6,"",Tb_Data[[#This Row],[Expiration_date]])</f>
        <v/>
      </c>
      <c r="P212" s="18">
        <f>DATEVALUE(_xlfn.CONCAT("01/",MONTH(Tb_Data[[#This Row],[Start Date]]),"/",YEAR(Tb_Data[[#This Row],[Start Date]])))</f>
        <v>45536</v>
      </c>
      <c r="Q212" s="8" t="str">
        <f>IF(Tb_Data[[#This Row],[Auto Renewal]]="yes","Auto","Manual")</f>
        <v>Manual</v>
      </c>
    </row>
    <row r="213" spans="1:17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  <c r="N213" s="18" cm="1">
        <f t="array" ref="N21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45901</v>
      </c>
      <c r="O213" s="18">
        <f>IF(Tb_Data[[#This Row],[Expiration_date]]&lt;C̳álculos!$I$6,"",Tb_Data[[#This Row],[Expiration_date]])</f>
        <v>45901</v>
      </c>
      <c r="P213" s="18">
        <f>DATEVALUE(_xlfn.CONCAT("01/",MONTH(Tb_Data[[#This Row],[Start Date]]),"/",YEAR(Tb_Data[[#This Row],[Start Date]])))</f>
        <v>45536</v>
      </c>
      <c r="Q213" s="8" t="str">
        <f>IF(Tb_Data[[#This Row],[Auto Renewal]]="yes","Auto","Manual")</f>
        <v>Auto</v>
      </c>
    </row>
    <row r="214" spans="1:17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  <c r="N214" s="18" cm="1">
        <f t="array" ref="N21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214" s="18">
        <f>IF(Tb_Data[[#This Row],[Expiration_date]]&lt;C̳álculos!$I$6,"",Tb_Data[[#This Row],[Expiration_date]])</f>
        <v>45627</v>
      </c>
      <c r="P214" s="18">
        <f>DATEVALUE(_xlfn.CONCAT("01/",MONTH(Tb_Data[[#This Row],[Start Date]]),"/",YEAR(Tb_Data[[#This Row],[Start Date]])))</f>
        <v>45536</v>
      </c>
      <c r="Q214" s="8" t="str">
        <f>IF(Tb_Data[[#This Row],[Auto Renewal]]="yes","Auto","Manual")</f>
        <v>Manual</v>
      </c>
    </row>
    <row r="215" spans="1:17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  <c r="N215" s="18" cm="1">
        <f t="array" ref="N21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215" s="18">
        <f>IF(Tb_Data[[#This Row],[Expiration_date]]&lt;C̳álculos!$I$6,"",Tb_Data[[#This Row],[Expiration_date]])</f>
        <v>45627</v>
      </c>
      <c r="P215" s="18">
        <f>DATEVALUE(_xlfn.CONCAT("01/",MONTH(Tb_Data[[#This Row],[Start Date]]),"/",YEAR(Tb_Data[[#This Row],[Start Date]])))</f>
        <v>45536</v>
      </c>
      <c r="Q215" s="8" t="str">
        <f>IF(Tb_Data[[#This Row],[Auto Renewal]]="yes","Auto","Manual")</f>
        <v>Auto</v>
      </c>
    </row>
    <row r="216" spans="1:17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  <c r="N216" s="18" cm="1">
        <f t="array" ref="N21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216" s="18" t="str">
        <f>IF(Tb_Data[[#This Row],[Expiration_date]]&lt;C̳álculos!$I$6,"",Tb_Data[[#This Row],[Expiration_date]])</f>
        <v/>
      </c>
      <c r="P216" s="18">
        <f>DATEVALUE(_xlfn.CONCAT("01/",MONTH(Tb_Data[[#This Row],[Start Date]]),"/",YEAR(Tb_Data[[#This Row],[Start Date]])))</f>
        <v>45536</v>
      </c>
      <c r="Q216" s="8" t="str">
        <f>IF(Tb_Data[[#This Row],[Auto Renewal]]="yes","Auto","Manual")</f>
        <v>Manual</v>
      </c>
    </row>
    <row r="217" spans="1:17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  <c r="N217" s="18" cm="1">
        <f t="array" ref="N21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45901</v>
      </c>
      <c r="O217" s="18">
        <f>IF(Tb_Data[[#This Row],[Expiration_date]]&lt;C̳álculos!$I$6,"",Tb_Data[[#This Row],[Expiration_date]])</f>
        <v>45901</v>
      </c>
      <c r="P217" s="18">
        <f>DATEVALUE(_xlfn.CONCAT("01/",MONTH(Tb_Data[[#This Row],[Start Date]]),"/",YEAR(Tb_Data[[#This Row],[Start Date]])))</f>
        <v>45536</v>
      </c>
      <c r="Q217" s="8" t="str">
        <f>IF(Tb_Data[[#This Row],[Auto Renewal]]="yes","Auto","Manual")</f>
        <v>Auto</v>
      </c>
    </row>
    <row r="218" spans="1:17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  <c r="N218" s="18" cm="1">
        <f t="array" ref="N21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45566</v>
      </c>
      <c r="O218" s="18" t="str">
        <f>IF(Tb_Data[[#This Row],[Expiration_date]]&lt;C̳álculos!$I$6,"",Tb_Data[[#This Row],[Expiration_date]])</f>
        <v/>
      </c>
      <c r="P218" s="18">
        <f>DATEVALUE(_xlfn.CONCAT("01/",MONTH(Tb_Data[[#This Row],[Start Date]]),"/",YEAR(Tb_Data[[#This Row],[Start Date]])))</f>
        <v>45536</v>
      </c>
      <c r="Q218" s="8" t="str">
        <f>IF(Tb_Data[[#This Row],[Auto Renewal]]="yes","Auto","Manual")</f>
        <v>Manual</v>
      </c>
    </row>
    <row r="219" spans="1:17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  <c r="N219" s="18" cm="1">
        <f t="array" ref="N21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219" s="18">
        <f>IF(Tb_Data[[#This Row],[Expiration_date]]&lt;C̳álculos!$I$6,"",Tb_Data[[#This Row],[Expiration_date]])</f>
        <v>45627</v>
      </c>
      <c r="P219" s="18">
        <f>DATEVALUE(_xlfn.CONCAT("01/",MONTH(Tb_Data[[#This Row],[Start Date]]),"/",YEAR(Tb_Data[[#This Row],[Start Date]])))</f>
        <v>45536</v>
      </c>
      <c r="Q219" s="8" t="str">
        <f>IF(Tb_Data[[#This Row],[Auto Renewal]]="yes","Auto","Manual")</f>
        <v>Auto</v>
      </c>
    </row>
    <row r="220" spans="1:17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  <c r="N220" s="18" cm="1">
        <f t="array" ref="N22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220" s="18" t="str">
        <f>IF(Tb_Data[[#This Row],[Expiration_date]]&lt;C̳álculos!$I$6,"",Tb_Data[[#This Row],[Expiration_date]])</f>
        <v/>
      </c>
      <c r="P220" s="18">
        <f>DATEVALUE(_xlfn.CONCAT("01/",MONTH(Tb_Data[[#This Row],[Start Date]]),"/",YEAR(Tb_Data[[#This Row],[Start Date]])))</f>
        <v>45566</v>
      </c>
      <c r="Q220" s="8" t="str">
        <f>IF(Tb_Data[[#This Row],[Auto Renewal]]="yes","Auto","Manual")</f>
        <v>Manual</v>
      </c>
    </row>
    <row r="221" spans="1:17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  <c r="N221" s="18" cm="1">
        <f t="array" ref="N22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45931</v>
      </c>
      <c r="O221" s="18">
        <f>IF(Tb_Data[[#This Row],[Expiration_date]]&lt;C̳álculos!$I$6,"",Tb_Data[[#This Row],[Expiration_date]])</f>
        <v>45931</v>
      </c>
      <c r="P221" s="18">
        <f>DATEVALUE(_xlfn.CONCAT("01/",MONTH(Tb_Data[[#This Row],[Start Date]]),"/",YEAR(Tb_Data[[#This Row],[Start Date]])))</f>
        <v>45566</v>
      </c>
      <c r="Q221" s="8" t="str">
        <f>IF(Tb_Data[[#This Row],[Auto Renewal]]="yes","Auto","Manual")</f>
        <v>Auto</v>
      </c>
    </row>
    <row r="222" spans="1:17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  <c r="N222" s="18" cm="1">
        <f t="array" ref="N22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222" s="18" t="str">
        <f>IF(Tb_Data[[#This Row],[Expiration_date]]&lt;C̳álculos!$I$6,"",Tb_Data[[#This Row],[Expiration_date]])</f>
        <v/>
      </c>
      <c r="P222" s="18">
        <f>DATEVALUE(_xlfn.CONCAT("01/",MONTH(Tb_Data[[#This Row],[Start Date]]),"/",YEAR(Tb_Data[[#This Row],[Start Date]])))</f>
        <v>45566</v>
      </c>
      <c r="Q222" s="8" t="str">
        <f>IF(Tb_Data[[#This Row],[Auto Renewal]]="yes","Auto","Manual")</f>
        <v>Manual</v>
      </c>
    </row>
    <row r="223" spans="1:17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  <c r="N223" s="18" cm="1">
        <f t="array" ref="N22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45658</v>
      </c>
      <c r="O223" s="18">
        <f>IF(Tb_Data[[#This Row],[Expiration_date]]&lt;C̳álculos!$I$6,"",Tb_Data[[#This Row],[Expiration_date]])</f>
        <v>45658</v>
      </c>
      <c r="P223" s="18">
        <f>DATEVALUE(_xlfn.CONCAT("01/",MONTH(Tb_Data[[#This Row],[Start Date]]),"/",YEAR(Tb_Data[[#This Row],[Start Date]])))</f>
        <v>45566</v>
      </c>
      <c r="Q223" s="8" t="str">
        <f>IF(Tb_Data[[#This Row],[Auto Renewal]]="yes","Auto","Manual")</f>
        <v>Auto</v>
      </c>
    </row>
    <row r="224" spans="1:17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  <c r="N224" s="18" cm="1">
        <f t="array" ref="N22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224" s="18" t="str">
        <f>IF(Tb_Data[[#This Row],[Expiration_date]]&lt;C̳álculos!$I$6,"",Tb_Data[[#This Row],[Expiration_date]])</f>
        <v/>
      </c>
      <c r="P224" s="18">
        <f>DATEVALUE(_xlfn.CONCAT("01/",MONTH(Tb_Data[[#This Row],[Start Date]]),"/",YEAR(Tb_Data[[#This Row],[Start Date]])))</f>
        <v>45566</v>
      </c>
      <c r="Q224" s="8" t="str">
        <f>IF(Tb_Data[[#This Row],[Auto Renewal]]="yes","Auto","Manual")</f>
        <v>Manual</v>
      </c>
    </row>
    <row r="225" spans="1:17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  <c r="N225" s="18" cm="1">
        <f t="array" ref="N22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45931</v>
      </c>
      <c r="O225" s="18">
        <f>IF(Tb_Data[[#This Row],[Expiration_date]]&lt;C̳álculos!$I$6,"",Tb_Data[[#This Row],[Expiration_date]])</f>
        <v>45931</v>
      </c>
      <c r="P225" s="18">
        <f>DATEVALUE(_xlfn.CONCAT("01/",MONTH(Tb_Data[[#This Row],[Start Date]]),"/",YEAR(Tb_Data[[#This Row],[Start Date]])))</f>
        <v>45566</v>
      </c>
      <c r="Q225" s="8" t="str">
        <f>IF(Tb_Data[[#This Row],[Auto Renewal]]="yes","Auto","Manual")</f>
        <v>Auto</v>
      </c>
    </row>
    <row r="226" spans="1:17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  <c r="N226" s="18" cm="1">
        <f t="array" ref="N22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226" s="18" t="str">
        <f>IF(Tb_Data[[#This Row],[Expiration_date]]&lt;C̳álculos!$I$6,"",Tb_Data[[#This Row],[Expiration_date]])</f>
        <v/>
      </c>
      <c r="P226" s="18">
        <f>DATEVALUE(_xlfn.CONCAT("01/",MONTH(Tb_Data[[#This Row],[Start Date]]),"/",YEAR(Tb_Data[[#This Row],[Start Date]])))</f>
        <v>45566</v>
      </c>
      <c r="Q226" s="8" t="str">
        <f>IF(Tb_Data[[#This Row],[Auto Renewal]]="yes","Auto","Manual")</f>
        <v>Manual</v>
      </c>
    </row>
    <row r="227" spans="1:17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  <c r="N227" s="18" cm="1">
        <f t="array" ref="N22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45658</v>
      </c>
      <c r="O227" s="18">
        <f>IF(Tb_Data[[#This Row],[Expiration_date]]&lt;C̳álculos!$I$6,"",Tb_Data[[#This Row],[Expiration_date]])</f>
        <v>45658</v>
      </c>
      <c r="P227" s="18">
        <f>DATEVALUE(_xlfn.CONCAT("01/",MONTH(Tb_Data[[#This Row],[Start Date]]),"/",YEAR(Tb_Data[[#This Row],[Start Date]])))</f>
        <v>45566</v>
      </c>
      <c r="Q227" s="8" t="str">
        <f>IF(Tb_Data[[#This Row],[Auto Renewal]]="yes","Auto","Manual")</f>
        <v>Auto</v>
      </c>
    </row>
    <row r="228" spans="1:17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  <c r="N228" s="18" cm="1">
        <f t="array" ref="N22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228" s="18" t="str">
        <f>IF(Tb_Data[[#This Row],[Expiration_date]]&lt;C̳álculos!$I$6,"",Tb_Data[[#This Row],[Expiration_date]])</f>
        <v/>
      </c>
      <c r="P228" s="18">
        <f>DATEVALUE(_xlfn.CONCAT("01/",MONTH(Tb_Data[[#This Row],[Start Date]]),"/",YEAR(Tb_Data[[#This Row],[Start Date]])))</f>
        <v>45566</v>
      </c>
      <c r="Q228" s="8" t="str">
        <f>IF(Tb_Data[[#This Row],[Auto Renewal]]="yes","Auto","Manual")</f>
        <v>Manual</v>
      </c>
    </row>
    <row r="229" spans="1:17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  <c r="N229" s="18" cm="1">
        <f t="array" ref="N22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45931</v>
      </c>
      <c r="O229" s="18">
        <f>IF(Tb_Data[[#This Row],[Expiration_date]]&lt;C̳álculos!$I$6,"",Tb_Data[[#This Row],[Expiration_date]])</f>
        <v>45931</v>
      </c>
      <c r="P229" s="18">
        <f>DATEVALUE(_xlfn.CONCAT("01/",MONTH(Tb_Data[[#This Row],[Start Date]]),"/",YEAR(Tb_Data[[#This Row],[Start Date]])))</f>
        <v>45566</v>
      </c>
      <c r="Q229" s="8" t="str">
        <f>IF(Tb_Data[[#This Row],[Auto Renewal]]="yes","Auto","Manual")</f>
        <v>Auto</v>
      </c>
    </row>
    <row r="230" spans="1:17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  <c r="N230" s="18" cm="1">
        <f t="array" ref="N23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230" s="18" t="str">
        <f>IF(Tb_Data[[#This Row],[Expiration_date]]&lt;C̳álculos!$I$6,"",Tb_Data[[#This Row],[Expiration_date]])</f>
        <v/>
      </c>
      <c r="P230" s="18">
        <f>DATEVALUE(_xlfn.CONCAT("01/",MONTH(Tb_Data[[#This Row],[Start Date]]),"/",YEAR(Tb_Data[[#This Row],[Start Date]])))</f>
        <v>45566</v>
      </c>
      <c r="Q230" s="8" t="str">
        <f>IF(Tb_Data[[#This Row],[Auto Renewal]]="yes","Auto","Manual")</f>
        <v>Manual</v>
      </c>
    </row>
    <row r="231" spans="1:17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  <c r="N231" s="18" cm="1">
        <f t="array" ref="N23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45658</v>
      </c>
      <c r="O231" s="18">
        <f>IF(Tb_Data[[#This Row],[Expiration_date]]&lt;C̳álculos!$I$6,"",Tb_Data[[#This Row],[Expiration_date]])</f>
        <v>45658</v>
      </c>
      <c r="P231" s="18">
        <f>DATEVALUE(_xlfn.CONCAT("01/",MONTH(Tb_Data[[#This Row],[Start Date]]),"/",YEAR(Tb_Data[[#This Row],[Start Date]])))</f>
        <v>45566</v>
      </c>
      <c r="Q231" s="8" t="str">
        <f>IF(Tb_Data[[#This Row],[Auto Renewal]]="yes","Auto","Manual")</f>
        <v>Auto</v>
      </c>
    </row>
    <row r="232" spans="1:17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  <c r="N232" s="18" cm="1">
        <f t="array" ref="N23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232" s="18" t="str">
        <f>IF(Tb_Data[[#This Row],[Expiration_date]]&lt;C̳álculos!$I$6,"",Tb_Data[[#This Row],[Expiration_date]])</f>
        <v/>
      </c>
      <c r="P232" s="18">
        <f>DATEVALUE(_xlfn.CONCAT("01/",MONTH(Tb_Data[[#This Row],[Start Date]]),"/",YEAR(Tb_Data[[#This Row],[Start Date]])))</f>
        <v>45566</v>
      </c>
      <c r="Q232" s="8" t="str">
        <f>IF(Tb_Data[[#This Row],[Auto Renewal]]="yes","Auto","Manual")</f>
        <v>Manual</v>
      </c>
    </row>
    <row r="233" spans="1:17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  <c r="N233" s="18" cm="1">
        <f t="array" ref="N23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45931</v>
      </c>
      <c r="O233" s="18">
        <f>IF(Tb_Data[[#This Row],[Expiration_date]]&lt;C̳álculos!$I$6,"",Tb_Data[[#This Row],[Expiration_date]])</f>
        <v>45931</v>
      </c>
      <c r="P233" s="18">
        <f>DATEVALUE(_xlfn.CONCAT("01/",MONTH(Tb_Data[[#This Row],[Start Date]]),"/",YEAR(Tb_Data[[#This Row],[Start Date]])))</f>
        <v>45566</v>
      </c>
      <c r="Q233" s="8" t="str">
        <f>IF(Tb_Data[[#This Row],[Auto Renewal]]="yes","Auto","Manual")</f>
        <v>Auto</v>
      </c>
    </row>
    <row r="234" spans="1:17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  <c r="N234" s="18" cm="1">
        <f t="array" ref="N23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234" s="18" t="str">
        <f>IF(Tb_Data[[#This Row],[Expiration_date]]&lt;C̳álculos!$I$6,"",Tb_Data[[#This Row],[Expiration_date]])</f>
        <v/>
      </c>
      <c r="P234" s="18">
        <f>DATEVALUE(_xlfn.CONCAT("01/",MONTH(Tb_Data[[#This Row],[Start Date]]),"/",YEAR(Tb_Data[[#This Row],[Start Date]])))</f>
        <v>45566</v>
      </c>
      <c r="Q234" s="8" t="str">
        <f>IF(Tb_Data[[#This Row],[Auto Renewal]]="yes","Auto","Manual")</f>
        <v>Manual</v>
      </c>
    </row>
    <row r="235" spans="1:17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  <c r="N235" s="18" cm="1">
        <f t="array" ref="N23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45658</v>
      </c>
      <c r="O235" s="18">
        <f>IF(Tb_Data[[#This Row],[Expiration_date]]&lt;C̳álculos!$I$6,"",Tb_Data[[#This Row],[Expiration_date]])</f>
        <v>45658</v>
      </c>
      <c r="P235" s="18">
        <f>DATEVALUE(_xlfn.CONCAT("01/",MONTH(Tb_Data[[#This Row],[Start Date]]),"/",YEAR(Tb_Data[[#This Row],[Start Date]])))</f>
        <v>45566</v>
      </c>
      <c r="Q235" s="8" t="str">
        <f>IF(Tb_Data[[#This Row],[Auto Renewal]]="yes","Auto","Manual")</f>
        <v>Auto</v>
      </c>
    </row>
    <row r="236" spans="1:17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  <c r="N236" s="18" cm="1">
        <f t="array" ref="N23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236" s="18" t="str">
        <f>IF(Tb_Data[[#This Row],[Expiration_date]]&lt;C̳álculos!$I$6,"",Tb_Data[[#This Row],[Expiration_date]])</f>
        <v/>
      </c>
      <c r="P236" s="18">
        <f>DATEVALUE(_xlfn.CONCAT("01/",MONTH(Tb_Data[[#This Row],[Start Date]]),"/",YEAR(Tb_Data[[#This Row],[Start Date]])))</f>
        <v>45566</v>
      </c>
      <c r="Q236" s="8" t="str">
        <f>IF(Tb_Data[[#This Row],[Auto Renewal]]="yes","Auto","Manual")</f>
        <v>Manual</v>
      </c>
    </row>
    <row r="237" spans="1:17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  <c r="N237" s="18" cm="1">
        <f t="array" ref="N23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45931</v>
      </c>
      <c r="O237" s="18">
        <f>IF(Tb_Data[[#This Row],[Expiration_date]]&lt;C̳álculos!$I$6,"",Tb_Data[[#This Row],[Expiration_date]])</f>
        <v>45931</v>
      </c>
      <c r="P237" s="18">
        <f>DATEVALUE(_xlfn.CONCAT("01/",MONTH(Tb_Data[[#This Row],[Start Date]]),"/",YEAR(Tb_Data[[#This Row],[Start Date]])))</f>
        <v>45566</v>
      </c>
      <c r="Q237" s="8" t="str">
        <f>IF(Tb_Data[[#This Row],[Auto Renewal]]="yes","Auto","Manual")</f>
        <v>Auto</v>
      </c>
    </row>
    <row r="238" spans="1:17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  <c r="N238" s="18" cm="1">
        <f t="array" ref="N23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238" s="18" t="str">
        <f>IF(Tb_Data[[#This Row],[Expiration_date]]&lt;C̳álculos!$I$6,"",Tb_Data[[#This Row],[Expiration_date]])</f>
        <v/>
      </c>
      <c r="P238" s="18">
        <f>DATEVALUE(_xlfn.CONCAT("01/",MONTH(Tb_Data[[#This Row],[Start Date]]),"/",YEAR(Tb_Data[[#This Row],[Start Date]])))</f>
        <v>45566</v>
      </c>
      <c r="Q238" s="8" t="str">
        <f>IF(Tb_Data[[#This Row],[Auto Renewal]]="yes","Auto","Manual")</f>
        <v>Manual</v>
      </c>
    </row>
    <row r="239" spans="1:17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  <c r="N239" s="18" cm="1">
        <f t="array" ref="N23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45658</v>
      </c>
      <c r="O239" s="18">
        <f>IF(Tb_Data[[#This Row],[Expiration_date]]&lt;C̳álculos!$I$6,"",Tb_Data[[#This Row],[Expiration_date]])</f>
        <v>45658</v>
      </c>
      <c r="P239" s="18">
        <f>DATEVALUE(_xlfn.CONCAT("01/",MONTH(Tb_Data[[#This Row],[Start Date]]),"/",YEAR(Tb_Data[[#This Row],[Start Date]])))</f>
        <v>45566</v>
      </c>
      <c r="Q239" s="8" t="str">
        <f>IF(Tb_Data[[#This Row],[Auto Renewal]]="yes","Auto","Manual")</f>
        <v>Auto</v>
      </c>
    </row>
    <row r="240" spans="1:17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  <c r="N240" s="18" cm="1">
        <f t="array" ref="N24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240" s="18" t="str">
        <f>IF(Tb_Data[[#This Row],[Expiration_date]]&lt;C̳álculos!$I$6,"",Tb_Data[[#This Row],[Expiration_date]])</f>
        <v/>
      </c>
      <c r="P240" s="18">
        <f>DATEVALUE(_xlfn.CONCAT("01/",MONTH(Tb_Data[[#This Row],[Start Date]]),"/",YEAR(Tb_Data[[#This Row],[Start Date]])))</f>
        <v>45566</v>
      </c>
      <c r="Q240" s="8" t="str">
        <f>IF(Tb_Data[[#This Row],[Auto Renewal]]="yes","Auto","Manual")</f>
        <v>Manual</v>
      </c>
    </row>
    <row r="241" spans="1:17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  <c r="N241" s="18" cm="1">
        <f t="array" ref="N24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45931</v>
      </c>
      <c r="O241" s="18">
        <f>IF(Tb_Data[[#This Row],[Expiration_date]]&lt;C̳álculos!$I$6,"",Tb_Data[[#This Row],[Expiration_date]])</f>
        <v>45931</v>
      </c>
      <c r="P241" s="18">
        <f>DATEVALUE(_xlfn.CONCAT("01/",MONTH(Tb_Data[[#This Row],[Start Date]]),"/",YEAR(Tb_Data[[#This Row],[Start Date]])))</f>
        <v>45566</v>
      </c>
      <c r="Q241" s="8" t="str">
        <f>IF(Tb_Data[[#This Row],[Auto Renewal]]="yes","Auto","Manual")</f>
        <v>Auto</v>
      </c>
    </row>
    <row r="242" spans="1:17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  <c r="N242" s="18" cm="1">
        <f t="array" ref="N24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242" s="18" t="str">
        <f>IF(Tb_Data[[#This Row],[Expiration_date]]&lt;C̳álculos!$I$6,"",Tb_Data[[#This Row],[Expiration_date]])</f>
        <v/>
      </c>
      <c r="P242" s="18">
        <f>DATEVALUE(_xlfn.CONCAT("01/",MONTH(Tb_Data[[#This Row],[Start Date]]),"/",YEAR(Tb_Data[[#This Row],[Start Date]])))</f>
        <v>45566</v>
      </c>
      <c r="Q242" s="8" t="str">
        <f>IF(Tb_Data[[#This Row],[Auto Renewal]]="yes","Auto","Manual")</f>
        <v>Manual</v>
      </c>
    </row>
    <row r="243" spans="1:17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  <c r="N243" s="18" cm="1">
        <f t="array" ref="N24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45658</v>
      </c>
      <c r="O243" s="18">
        <f>IF(Tb_Data[[#This Row],[Expiration_date]]&lt;C̳álculos!$I$6,"",Tb_Data[[#This Row],[Expiration_date]])</f>
        <v>45658</v>
      </c>
      <c r="P243" s="18">
        <f>DATEVALUE(_xlfn.CONCAT("01/",MONTH(Tb_Data[[#This Row],[Start Date]]),"/",YEAR(Tb_Data[[#This Row],[Start Date]])))</f>
        <v>45566</v>
      </c>
      <c r="Q243" s="8" t="str">
        <f>IF(Tb_Data[[#This Row],[Auto Renewal]]="yes","Auto","Manual")</f>
        <v>Auto</v>
      </c>
    </row>
    <row r="244" spans="1:17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  <c r="N244" s="18" cm="1">
        <f t="array" ref="N24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244" s="18" t="str">
        <f>IF(Tb_Data[[#This Row],[Expiration_date]]&lt;C̳álculos!$I$6,"",Tb_Data[[#This Row],[Expiration_date]])</f>
        <v/>
      </c>
      <c r="P244" s="18">
        <f>DATEVALUE(_xlfn.CONCAT("01/",MONTH(Tb_Data[[#This Row],[Start Date]]),"/",YEAR(Tb_Data[[#This Row],[Start Date]])))</f>
        <v>45566</v>
      </c>
      <c r="Q244" s="8" t="str">
        <f>IF(Tb_Data[[#This Row],[Auto Renewal]]="yes","Auto","Manual")</f>
        <v>Manual</v>
      </c>
    </row>
    <row r="245" spans="1:17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  <c r="N245" s="18" cm="1">
        <f t="array" ref="N24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45931</v>
      </c>
      <c r="O245" s="18">
        <f>IF(Tb_Data[[#This Row],[Expiration_date]]&lt;C̳álculos!$I$6,"",Tb_Data[[#This Row],[Expiration_date]])</f>
        <v>45931</v>
      </c>
      <c r="P245" s="18">
        <f>DATEVALUE(_xlfn.CONCAT("01/",MONTH(Tb_Data[[#This Row],[Start Date]]),"/",YEAR(Tb_Data[[#This Row],[Start Date]])))</f>
        <v>45566</v>
      </c>
      <c r="Q245" s="8" t="str">
        <f>IF(Tb_Data[[#This Row],[Auto Renewal]]="yes","Auto","Manual")</f>
        <v>Auto</v>
      </c>
    </row>
    <row r="246" spans="1:17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  <c r="N246" s="18" cm="1">
        <f t="array" ref="N24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246" s="18" t="str">
        <f>IF(Tb_Data[[#This Row],[Expiration_date]]&lt;C̳álculos!$I$6,"",Tb_Data[[#This Row],[Expiration_date]])</f>
        <v/>
      </c>
      <c r="P246" s="18">
        <f>DATEVALUE(_xlfn.CONCAT("01/",MONTH(Tb_Data[[#This Row],[Start Date]]),"/",YEAR(Tb_Data[[#This Row],[Start Date]])))</f>
        <v>45566</v>
      </c>
      <c r="Q246" s="8" t="str">
        <f>IF(Tb_Data[[#This Row],[Auto Renewal]]="yes","Auto","Manual")</f>
        <v>Manual</v>
      </c>
    </row>
    <row r="247" spans="1:17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  <c r="N247" s="18" cm="1">
        <f t="array" ref="N24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45658</v>
      </c>
      <c r="O247" s="18">
        <f>IF(Tb_Data[[#This Row],[Expiration_date]]&lt;C̳álculos!$I$6,"",Tb_Data[[#This Row],[Expiration_date]])</f>
        <v>45658</v>
      </c>
      <c r="P247" s="18">
        <f>DATEVALUE(_xlfn.CONCAT("01/",MONTH(Tb_Data[[#This Row],[Start Date]]),"/",YEAR(Tb_Data[[#This Row],[Start Date]])))</f>
        <v>45566</v>
      </c>
      <c r="Q247" s="8" t="str">
        <f>IF(Tb_Data[[#This Row],[Auto Renewal]]="yes","Auto","Manual")</f>
        <v>Auto</v>
      </c>
    </row>
    <row r="248" spans="1:17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  <c r="N248" s="18" cm="1">
        <f t="array" ref="N24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248" s="18" t="str">
        <f>IF(Tb_Data[[#This Row],[Expiration_date]]&lt;C̳álculos!$I$6,"",Tb_Data[[#This Row],[Expiration_date]])</f>
        <v/>
      </c>
      <c r="P248" s="18">
        <f>DATEVALUE(_xlfn.CONCAT("01/",MONTH(Tb_Data[[#This Row],[Start Date]]),"/",YEAR(Tb_Data[[#This Row],[Start Date]])))</f>
        <v>45566</v>
      </c>
      <c r="Q248" s="8" t="str">
        <f>IF(Tb_Data[[#This Row],[Auto Renewal]]="yes","Auto","Manual")</f>
        <v>Manual</v>
      </c>
    </row>
    <row r="249" spans="1:17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  <c r="N249" s="18" cm="1">
        <f t="array" ref="N24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45931</v>
      </c>
      <c r="O249" s="18">
        <f>IF(Tb_Data[[#This Row],[Expiration_date]]&lt;C̳álculos!$I$6,"",Tb_Data[[#This Row],[Expiration_date]])</f>
        <v>45931</v>
      </c>
      <c r="P249" s="18">
        <f>DATEVALUE(_xlfn.CONCAT("01/",MONTH(Tb_Data[[#This Row],[Start Date]]),"/",YEAR(Tb_Data[[#This Row],[Start Date]])))</f>
        <v>45566</v>
      </c>
      <c r="Q249" s="8" t="str">
        <f>IF(Tb_Data[[#This Row],[Auto Renewal]]="yes","Auto","Manual")</f>
        <v>Auto</v>
      </c>
    </row>
    <row r="250" spans="1:17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  <c r="N250" s="18" cm="1">
        <f t="array" ref="N25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45597</v>
      </c>
      <c r="O250" s="18" t="str">
        <f>IF(Tb_Data[[#This Row],[Expiration_date]]&lt;C̳álculos!$I$6,"",Tb_Data[[#This Row],[Expiration_date]])</f>
        <v/>
      </c>
      <c r="P250" s="18">
        <f>DATEVALUE(_xlfn.CONCAT("01/",MONTH(Tb_Data[[#This Row],[Start Date]]),"/",YEAR(Tb_Data[[#This Row],[Start Date]])))</f>
        <v>45566</v>
      </c>
      <c r="Q250" s="8" t="str">
        <f>IF(Tb_Data[[#This Row],[Auto Renewal]]="yes","Auto","Manual")</f>
        <v>Manual</v>
      </c>
    </row>
    <row r="251" spans="1:17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  <c r="N251" s="18" cm="1">
        <f t="array" ref="N25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45689</v>
      </c>
      <c r="O251" s="18">
        <f>IF(Tb_Data[[#This Row],[Expiration_date]]&lt;C̳álculos!$I$6,"",Tb_Data[[#This Row],[Expiration_date]])</f>
        <v>45689</v>
      </c>
      <c r="P251" s="18">
        <f>DATEVALUE(_xlfn.CONCAT("01/",MONTH(Tb_Data[[#This Row],[Start Date]]),"/",YEAR(Tb_Data[[#This Row],[Start Date]])))</f>
        <v>45597</v>
      </c>
      <c r="Q251" s="8" t="str">
        <f>IF(Tb_Data[[#This Row],[Auto Renewal]]="yes","Auto","Manual")</f>
        <v>Auto</v>
      </c>
    </row>
    <row r="252" spans="1:17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  <c r="N252" s="18" cm="1">
        <f t="array" ref="N25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252" s="18">
        <f>IF(Tb_Data[[#This Row],[Expiration_date]]&lt;C̳álculos!$I$6,"",Tb_Data[[#This Row],[Expiration_date]])</f>
        <v>45627</v>
      </c>
      <c r="P252" s="18">
        <f>DATEVALUE(_xlfn.CONCAT("01/",MONTH(Tb_Data[[#This Row],[Start Date]]),"/",YEAR(Tb_Data[[#This Row],[Start Date]])))</f>
        <v>45597</v>
      </c>
      <c r="Q252" s="8" t="str">
        <f>IF(Tb_Data[[#This Row],[Auto Renewal]]="yes","Auto","Manual")</f>
        <v>Manual</v>
      </c>
    </row>
    <row r="253" spans="1:17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  <c r="N253" s="18" cm="1">
        <f t="array" ref="N25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45962</v>
      </c>
      <c r="O253" s="18">
        <f>IF(Tb_Data[[#This Row],[Expiration_date]]&lt;C̳álculos!$I$6,"",Tb_Data[[#This Row],[Expiration_date]])</f>
        <v>45962</v>
      </c>
      <c r="P253" s="18">
        <f>DATEVALUE(_xlfn.CONCAT("01/",MONTH(Tb_Data[[#This Row],[Start Date]]),"/",YEAR(Tb_Data[[#This Row],[Start Date]])))</f>
        <v>45597</v>
      </c>
      <c r="Q253" s="8" t="str">
        <f>IF(Tb_Data[[#This Row],[Auto Renewal]]="yes","Auto","Manual")</f>
        <v>Auto</v>
      </c>
    </row>
    <row r="254" spans="1:17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  <c r="N254" s="18" cm="1">
        <f t="array" ref="N25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254" s="18">
        <f>IF(Tb_Data[[#This Row],[Expiration_date]]&lt;C̳álculos!$I$6,"",Tb_Data[[#This Row],[Expiration_date]])</f>
        <v>45627</v>
      </c>
      <c r="P254" s="18">
        <f>DATEVALUE(_xlfn.CONCAT("01/",MONTH(Tb_Data[[#This Row],[Start Date]]),"/",YEAR(Tb_Data[[#This Row],[Start Date]])))</f>
        <v>45597</v>
      </c>
      <c r="Q254" s="8" t="str">
        <f>IF(Tb_Data[[#This Row],[Auto Renewal]]="yes","Auto","Manual")</f>
        <v>Manual</v>
      </c>
    </row>
    <row r="255" spans="1:17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  <c r="N255" s="18" cm="1">
        <f t="array" ref="N25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45689</v>
      </c>
      <c r="O255" s="18">
        <f>IF(Tb_Data[[#This Row],[Expiration_date]]&lt;C̳álculos!$I$6,"",Tb_Data[[#This Row],[Expiration_date]])</f>
        <v>45689</v>
      </c>
      <c r="P255" s="18">
        <f>DATEVALUE(_xlfn.CONCAT("01/",MONTH(Tb_Data[[#This Row],[Start Date]]),"/",YEAR(Tb_Data[[#This Row],[Start Date]])))</f>
        <v>45597</v>
      </c>
      <c r="Q255" s="8" t="str">
        <f>IF(Tb_Data[[#This Row],[Auto Renewal]]="yes","Auto","Manual")</f>
        <v>Auto</v>
      </c>
    </row>
    <row r="256" spans="1:17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  <c r="N256" s="18" cm="1">
        <f t="array" ref="N25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256" s="18">
        <f>IF(Tb_Data[[#This Row],[Expiration_date]]&lt;C̳álculos!$I$6,"",Tb_Data[[#This Row],[Expiration_date]])</f>
        <v>45627</v>
      </c>
      <c r="P256" s="18">
        <f>DATEVALUE(_xlfn.CONCAT("01/",MONTH(Tb_Data[[#This Row],[Start Date]]),"/",YEAR(Tb_Data[[#This Row],[Start Date]])))</f>
        <v>45597</v>
      </c>
      <c r="Q256" s="8" t="str">
        <f>IF(Tb_Data[[#This Row],[Auto Renewal]]="yes","Auto","Manual")</f>
        <v>Manual</v>
      </c>
    </row>
    <row r="257" spans="1:17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  <c r="N257" s="18" cm="1">
        <f t="array" ref="N25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257" s="18">
        <f>IF(Tb_Data[[#This Row],[Expiration_date]]&lt;C̳álculos!$I$6,"",Tb_Data[[#This Row],[Expiration_date]])</f>
        <v>45627</v>
      </c>
      <c r="P257" s="18">
        <f>DATEVALUE(_xlfn.CONCAT("01/",MONTH(Tb_Data[[#This Row],[Start Date]]),"/",YEAR(Tb_Data[[#This Row],[Start Date]])))</f>
        <v>45597</v>
      </c>
      <c r="Q257" s="8" t="str">
        <f>IF(Tb_Data[[#This Row],[Auto Renewal]]="yes","Auto","Manual")</f>
        <v>Auto</v>
      </c>
    </row>
    <row r="258" spans="1:17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  <c r="N258" s="18" cm="1">
        <f t="array" ref="N25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45689</v>
      </c>
      <c r="O258" s="18">
        <f>IF(Tb_Data[[#This Row],[Expiration_date]]&lt;C̳álculos!$I$6,"",Tb_Data[[#This Row],[Expiration_date]])</f>
        <v>45689</v>
      </c>
      <c r="P258" s="18">
        <f>DATEVALUE(_xlfn.CONCAT("01/",MONTH(Tb_Data[[#This Row],[Start Date]]),"/",YEAR(Tb_Data[[#This Row],[Start Date]])))</f>
        <v>45597</v>
      </c>
      <c r="Q258" s="8" t="str">
        <f>IF(Tb_Data[[#This Row],[Auto Renewal]]="yes","Auto","Manual")</f>
        <v>Manual</v>
      </c>
    </row>
    <row r="259" spans="1:17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  <c r="N259" s="18" cm="1">
        <f t="array" ref="N25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45962</v>
      </c>
      <c r="O259" s="18">
        <f>IF(Tb_Data[[#This Row],[Expiration_date]]&lt;C̳álculos!$I$6,"",Tb_Data[[#This Row],[Expiration_date]])</f>
        <v>45962</v>
      </c>
      <c r="P259" s="18">
        <f>DATEVALUE(_xlfn.CONCAT("01/",MONTH(Tb_Data[[#This Row],[Start Date]]),"/",YEAR(Tb_Data[[#This Row],[Start Date]])))</f>
        <v>45597</v>
      </c>
      <c r="Q259" s="8" t="str">
        <f>IF(Tb_Data[[#This Row],[Auto Renewal]]="yes","Auto","Manual")</f>
        <v>Auto</v>
      </c>
    </row>
    <row r="260" spans="1:17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  <c r="N260" s="18" cm="1">
        <f t="array" ref="N26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45689</v>
      </c>
      <c r="O260" s="18">
        <f>IF(Tb_Data[[#This Row],[Expiration_date]]&lt;C̳álculos!$I$6,"",Tb_Data[[#This Row],[Expiration_date]])</f>
        <v>45689</v>
      </c>
      <c r="P260" s="18">
        <f>DATEVALUE(_xlfn.CONCAT("01/",MONTH(Tb_Data[[#This Row],[Start Date]]),"/",YEAR(Tb_Data[[#This Row],[Start Date]])))</f>
        <v>45597</v>
      </c>
      <c r="Q260" s="8" t="str">
        <f>IF(Tb_Data[[#This Row],[Auto Renewal]]="yes","Auto","Manual")</f>
        <v>Manual</v>
      </c>
    </row>
    <row r="261" spans="1:17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  <c r="N261" s="18" cm="1">
        <f t="array" ref="N26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261" s="18">
        <f>IF(Tb_Data[[#This Row],[Expiration_date]]&lt;C̳álculos!$I$6,"",Tb_Data[[#This Row],[Expiration_date]])</f>
        <v>45627</v>
      </c>
      <c r="P261" s="18">
        <f>DATEVALUE(_xlfn.CONCAT("01/",MONTH(Tb_Data[[#This Row],[Start Date]]),"/",YEAR(Tb_Data[[#This Row],[Start Date]])))</f>
        <v>45597</v>
      </c>
      <c r="Q261" s="8" t="str">
        <f>IF(Tb_Data[[#This Row],[Auto Renewal]]="yes","Auto","Manual")</f>
        <v>Auto</v>
      </c>
    </row>
    <row r="262" spans="1:17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  <c r="N262" s="18" cm="1">
        <f t="array" ref="N26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262" s="18">
        <f>IF(Tb_Data[[#This Row],[Expiration_date]]&lt;C̳álculos!$I$6,"",Tb_Data[[#This Row],[Expiration_date]])</f>
        <v>45627</v>
      </c>
      <c r="P262" s="18">
        <f>DATEVALUE(_xlfn.CONCAT("01/",MONTH(Tb_Data[[#This Row],[Start Date]]),"/",YEAR(Tb_Data[[#This Row],[Start Date]])))</f>
        <v>45597</v>
      </c>
      <c r="Q262" s="8" t="str">
        <f>IF(Tb_Data[[#This Row],[Auto Renewal]]="yes","Auto","Manual")</f>
        <v>Manual</v>
      </c>
    </row>
    <row r="263" spans="1:17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  <c r="N263" s="18" cm="1">
        <f t="array" ref="N26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45962</v>
      </c>
      <c r="O263" s="18">
        <f>IF(Tb_Data[[#This Row],[Expiration_date]]&lt;C̳álculos!$I$6,"",Tb_Data[[#This Row],[Expiration_date]])</f>
        <v>45962</v>
      </c>
      <c r="P263" s="18">
        <f>DATEVALUE(_xlfn.CONCAT("01/",MONTH(Tb_Data[[#This Row],[Start Date]]),"/",YEAR(Tb_Data[[#This Row],[Start Date]])))</f>
        <v>45597</v>
      </c>
      <c r="Q263" s="8" t="str">
        <f>IF(Tb_Data[[#This Row],[Auto Renewal]]="yes","Auto","Manual")</f>
        <v>Auto</v>
      </c>
    </row>
    <row r="264" spans="1:17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  <c r="N264" s="18" cm="1">
        <f t="array" ref="N26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45689</v>
      </c>
      <c r="O264" s="18">
        <f>IF(Tb_Data[[#This Row],[Expiration_date]]&lt;C̳álculos!$I$6,"",Tb_Data[[#This Row],[Expiration_date]])</f>
        <v>45689</v>
      </c>
      <c r="P264" s="18">
        <f>DATEVALUE(_xlfn.CONCAT("01/",MONTH(Tb_Data[[#This Row],[Start Date]]),"/",YEAR(Tb_Data[[#This Row],[Start Date]])))</f>
        <v>45597</v>
      </c>
      <c r="Q264" s="8" t="str">
        <f>IF(Tb_Data[[#This Row],[Auto Renewal]]="yes","Auto","Manual")</f>
        <v>Manual</v>
      </c>
    </row>
    <row r="265" spans="1:17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  <c r="N265" s="18" cm="1">
        <f t="array" ref="N26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45689</v>
      </c>
      <c r="O265" s="18">
        <f>IF(Tb_Data[[#This Row],[Expiration_date]]&lt;C̳álculos!$I$6,"",Tb_Data[[#This Row],[Expiration_date]])</f>
        <v>45689</v>
      </c>
      <c r="P265" s="18">
        <f>DATEVALUE(_xlfn.CONCAT("01/",MONTH(Tb_Data[[#This Row],[Start Date]]),"/",YEAR(Tb_Data[[#This Row],[Start Date]])))</f>
        <v>45597</v>
      </c>
      <c r="Q265" s="8" t="str">
        <f>IF(Tb_Data[[#This Row],[Auto Renewal]]="yes","Auto","Manual")</f>
        <v>Auto</v>
      </c>
    </row>
    <row r="266" spans="1:17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  <c r="N266" s="18" cm="1">
        <f t="array" ref="N26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266" s="18">
        <f>IF(Tb_Data[[#This Row],[Expiration_date]]&lt;C̳álculos!$I$6,"",Tb_Data[[#This Row],[Expiration_date]])</f>
        <v>45627</v>
      </c>
      <c r="P266" s="18">
        <f>DATEVALUE(_xlfn.CONCAT("01/",MONTH(Tb_Data[[#This Row],[Start Date]]),"/",YEAR(Tb_Data[[#This Row],[Start Date]])))</f>
        <v>45597</v>
      </c>
      <c r="Q266" s="8" t="str">
        <f>IF(Tb_Data[[#This Row],[Auto Renewal]]="yes","Auto","Manual")</f>
        <v>Manual</v>
      </c>
    </row>
    <row r="267" spans="1:17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  <c r="N267" s="18" cm="1">
        <f t="array" ref="N26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45962</v>
      </c>
      <c r="O267" s="18">
        <f>IF(Tb_Data[[#This Row],[Expiration_date]]&lt;C̳álculos!$I$6,"",Tb_Data[[#This Row],[Expiration_date]])</f>
        <v>45962</v>
      </c>
      <c r="P267" s="18">
        <f>DATEVALUE(_xlfn.CONCAT("01/",MONTH(Tb_Data[[#This Row],[Start Date]]),"/",YEAR(Tb_Data[[#This Row],[Start Date]])))</f>
        <v>45597</v>
      </c>
      <c r="Q267" s="8" t="str">
        <f>IF(Tb_Data[[#This Row],[Auto Renewal]]="yes","Auto","Manual")</f>
        <v>Auto</v>
      </c>
    </row>
    <row r="268" spans="1:17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  <c r="N268" s="18" cm="1">
        <f t="array" ref="N26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268" s="18">
        <f>IF(Tb_Data[[#This Row],[Expiration_date]]&lt;C̳álculos!$I$6,"",Tb_Data[[#This Row],[Expiration_date]])</f>
        <v>45627</v>
      </c>
      <c r="P268" s="18">
        <f>DATEVALUE(_xlfn.CONCAT("01/",MONTH(Tb_Data[[#This Row],[Start Date]]),"/",YEAR(Tb_Data[[#This Row],[Start Date]])))</f>
        <v>45597</v>
      </c>
      <c r="Q268" s="8" t="str">
        <f>IF(Tb_Data[[#This Row],[Auto Renewal]]="yes","Auto","Manual")</f>
        <v>Manual</v>
      </c>
    </row>
    <row r="269" spans="1:17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  <c r="N269" s="18" cm="1">
        <f t="array" ref="N26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45689</v>
      </c>
      <c r="O269" s="18">
        <f>IF(Tb_Data[[#This Row],[Expiration_date]]&lt;C̳álculos!$I$6,"",Tb_Data[[#This Row],[Expiration_date]])</f>
        <v>45689</v>
      </c>
      <c r="P269" s="18">
        <f>DATEVALUE(_xlfn.CONCAT("01/",MONTH(Tb_Data[[#This Row],[Start Date]]),"/",YEAR(Tb_Data[[#This Row],[Start Date]])))</f>
        <v>45597</v>
      </c>
      <c r="Q269" s="8" t="str">
        <f>IF(Tb_Data[[#This Row],[Auto Renewal]]="yes","Auto","Manual")</f>
        <v>Auto</v>
      </c>
    </row>
    <row r="270" spans="1:17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  <c r="N270" s="18" cm="1">
        <f t="array" ref="N27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270" s="18">
        <f>IF(Tb_Data[[#This Row],[Expiration_date]]&lt;C̳álculos!$I$6,"",Tb_Data[[#This Row],[Expiration_date]])</f>
        <v>45627</v>
      </c>
      <c r="P270" s="18">
        <f>DATEVALUE(_xlfn.CONCAT("01/",MONTH(Tb_Data[[#This Row],[Start Date]]),"/",YEAR(Tb_Data[[#This Row],[Start Date]])))</f>
        <v>45597</v>
      </c>
      <c r="Q270" s="8" t="str">
        <f>IF(Tb_Data[[#This Row],[Auto Renewal]]="yes","Auto","Manual")</f>
        <v>Manual</v>
      </c>
    </row>
    <row r="271" spans="1:17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  <c r="N271" s="18" cm="1">
        <f t="array" ref="N27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45962</v>
      </c>
      <c r="O271" s="18">
        <f>IF(Tb_Data[[#This Row],[Expiration_date]]&lt;C̳álculos!$I$6,"",Tb_Data[[#This Row],[Expiration_date]])</f>
        <v>45962</v>
      </c>
      <c r="P271" s="18">
        <f>DATEVALUE(_xlfn.CONCAT("01/",MONTH(Tb_Data[[#This Row],[Start Date]]),"/",YEAR(Tb_Data[[#This Row],[Start Date]])))</f>
        <v>45597</v>
      </c>
      <c r="Q271" s="8" t="str">
        <f>IF(Tb_Data[[#This Row],[Auto Renewal]]="yes","Auto","Manual")</f>
        <v>Auto</v>
      </c>
    </row>
    <row r="272" spans="1:17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  <c r="N272" s="18" cm="1">
        <f t="array" ref="N27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272" s="18">
        <f>IF(Tb_Data[[#This Row],[Expiration_date]]&lt;C̳álculos!$I$6,"",Tb_Data[[#This Row],[Expiration_date]])</f>
        <v>45627</v>
      </c>
      <c r="P272" s="18">
        <f>DATEVALUE(_xlfn.CONCAT("01/",MONTH(Tb_Data[[#This Row],[Start Date]]),"/",YEAR(Tb_Data[[#This Row],[Start Date]])))</f>
        <v>45597</v>
      </c>
      <c r="Q272" s="8" t="str">
        <f>IF(Tb_Data[[#This Row],[Auto Renewal]]="yes","Auto","Manual")</f>
        <v>Manual</v>
      </c>
    </row>
    <row r="273" spans="1:17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  <c r="N273" s="18" cm="1">
        <f t="array" ref="N27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45689</v>
      </c>
      <c r="O273" s="18">
        <f>IF(Tb_Data[[#This Row],[Expiration_date]]&lt;C̳álculos!$I$6,"",Tb_Data[[#This Row],[Expiration_date]])</f>
        <v>45689</v>
      </c>
      <c r="P273" s="18">
        <f>DATEVALUE(_xlfn.CONCAT("01/",MONTH(Tb_Data[[#This Row],[Start Date]]),"/",YEAR(Tb_Data[[#This Row],[Start Date]])))</f>
        <v>45597</v>
      </c>
      <c r="Q273" s="8" t="str">
        <f>IF(Tb_Data[[#This Row],[Auto Renewal]]="yes","Auto","Manual")</f>
        <v>Auto</v>
      </c>
    </row>
    <row r="274" spans="1:17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  <c r="N274" s="18" cm="1">
        <f t="array" ref="N27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274" s="18">
        <f>IF(Tb_Data[[#This Row],[Expiration_date]]&lt;C̳álculos!$I$6,"",Tb_Data[[#This Row],[Expiration_date]])</f>
        <v>45627</v>
      </c>
      <c r="P274" s="18">
        <f>DATEVALUE(_xlfn.CONCAT("01/",MONTH(Tb_Data[[#This Row],[Start Date]]),"/",YEAR(Tb_Data[[#This Row],[Start Date]])))</f>
        <v>45597</v>
      </c>
      <c r="Q274" s="8" t="str">
        <f>IF(Tb_Data[[#This Row],[Auto Renewal]]="yes","Auto","Manual")</f>
        <v>Manual</v>
      </c>
    </row>
    <row r="275" spans="1:17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  <c r="N275" s="18" cm="1">
        <f t="array" ref="N27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45962</v>
      </c>
      <c r="O275" s="18">
        <f>IF(Tb_Data[[#This Row],[Expiration_date]]&lt;C̳álculos!$I$6,"",Tb_Data[[#This Row],[Expiration_date]])</f>
        <v>45962</v>
      </c>
      <c r="P275" s="18">
        <f>DATEVALUE(_xlfn.CONCAT("01/",MONTH(Tb_Data[[#This Row],[Start Date]]),"/",YEAR(Tb_Data[[#This Row],[Start Date]])))</f>
        <v>45597</v>
      </c>
      <c r="Q275" s="8" t="str">
        <f>IF(Tb_Data[[#This Row],[Auto Renewal]]="yes","Auto","Manual")</f>
        <v>Auto</v>
      </c>
    </row>
    <row r="276" spans="1:17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  <c r="N276" s="18" cm="1">
        <f t="array" ref="N27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276" s="18">
        <f>IF(Tb_Data[[#This Row],[Expiration_date]]&lt;C̳álculos!$I$6,"",Tb_Data[[#This Row],[Expiration_date]])</f>
        <v>45627</v>
      </c>
      <c r="P276" s="18">
        <f>DATEVALUE(_xlfn.CONCAT("01/",MONTH(Tb_Data[[#This Row],[Start Date]]),"/",YEAR(Tb_Data[[#This Row],[Start Date]])))</f>
        <v>45597</v>
      </c>
      <c r="Q276" s="8" t="str">
        <f>IF(Tb_Data[[#This Row],[Auto Renewal]]="yes","Auto","Manual")</f>
        <v>Manual</v>
      </c>
    </row>
    <row r="277" spans="1:17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  <c r="N277" s="18" cm="1">
        <f t="array" ref="N27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45689</v>
      </c>
      <c r="O277" s="18">
        <f>IF(Tb_Data[[#This Row],[Expiration_date]]&lt;C̳álculos!$I$6,"",Tb_Data[[#This Row],[Expiration_date]])</f>
        <v>45689</v>
      </c>
      <c r="P277" s="18">
        <f>DATEVALUE(_xlfn.CONCAT("01/",MONTH(Tb_Data[[#This Row],[Start Date]]),"/",YEAR(Tb_Data[[#This Row],[Start Date]])))</f>
        <v>45597</v>
      </c>
      <c r="Q277" s="8" t="str">
        <f>IF(Tb_Data[[#This Row],[Auto Renewal]]="yes","Auto","Manual")</f>
        <v>Auto</v>
      </c>
    </row>
    <row r="278" spans="1:17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  <c r="N278" s="18" cm="1">
        <f t="array" ref="N27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278" s="18">
        <f>IF(Tb_Data[[#This Row],[Expiration_date]]&lt;C̳álculos!$I$6,"",Tb_Data[[#This Row],[Expiration_date]])</f>
        <v>45627</v>
      </c>
      <c r="P278" s="18">
        <f>DATEVALUE(_xlfn.CONCAT("01/",MONTH(Tb_Data[[#This Row],[Start Date]]),"/",YEAR(Tb_Data[[#This Row],[Start Date]])))</f>
        <v>45597</v>
      </c>
      <c r="Q278" s="8" t="str">
        <f>IF(Tb_Data[[#This Row],[Auto Renewal]]="yes","Auto","Manual")</f>
        <v>Manual</v>
      </c>
    </row>
    <row r="279" spans="1:17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  <c r="N279" s="18" cm="1">
        <f t="array" ref="N27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45962</v>
      </c>
      <c r="O279" s="18">
        <f>IF(Tb_Data[[#This Row],[Expiration_date]]&lt;C̳álculos!$I$6,"",Tb_Data[[#This Row],[Expiration_date]])</f>
        <v>45962</v>
      </c>
      <c r="P279" s="18">
        <f>DATEVALUE(_xlfn.CONCAT("01/",MONTH(Tb_Data[[#This Row],[Start Date]]),"/",YEAR(Tb_Data[[#This Row],[Start Date]])))</f>
        <v>45597</v>
      </c>
      <c r="Q279" s="8" t="str">
        <f>IF(Tb_Data[[#This Row],[Auto Renewal]]="yes","Auto","Manual")</f>
        <v>Auto</v>
      </c>
    </row>
    <row r="280" spans="1:17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  <c r="N280" s="18" cm="1">
        <f t="array" ref="N28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45627</v>
      </c>
      <c r="O280" s="18">
        <f>IF(Tb_Data[[#This Row],[Expiration_date]]&lt;C̳álculos!$I$6,"",Tb_Data[[#This Row],[Expiration_date]])</f>
        <v>45627</v>
      </c>
      <c r="P280" s="18">
        <f>DATEVALUE(_xlfn.CONCAT("01/",MONTH(Tb_Data[[#This Row],[Start Date]]),"/",YEAR(Tb_Data[[#This Row],[Start Date]])))</f>
        <v>45597</v>
      </c>
      <c r="Q280" s="8" t="str">
        <f>IF(Tb_Data[[#This Row],[Auto Renewal]]="yes","Auto","Manual")</f>
        <v>Manual</v>
      </c>
    </row>
    <row r="281" spans="1:17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  <c r="N281" s="18" cm="1">
        <f t="array" ref="N28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45717</v>
      </c>
      <c r="O281" s="18">
        <f>IF(Tb_Data[[#This Row],[Expiration_date]]&lt;C̳álculos!$I$6,"",Tb_Data[[#This Row],[Expiration_date]])</f>
        <v>45717</v>
      </c>
      <c r="P281" s="18">
        <f>DATEVALUE(_xlfn.CONCAT("01/",MONTH(Tb_Data[[#This Row],[Start Date]]),"/",YEAR(Tb_Data[[#This Row],[Start Date]])))</f>
        <v>45627</v>
      </c>
      <c r="Q281" s="8" t="str">
        <f>IF(Tb_Data[[#This Row],[Auto Renewal]]="yes","Auto","Manual")</f>
        <v>Auto</v>
      </c>
    </row>
    <row r="282" spans="1:17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  <c r="N282" s="18" cm="1">
        <f t="array" ref="N28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45658</v>
      </c>
      <c r="O282" s="18">
        <f>IF(Tb_Data[[#This Row],[Expiration_date]]&lt;C̳álculos!$I$6,"",Tb_Data[[#This Row],[Expiration_date]])</f>
        <v>45658</v>
      </c>
      <c r="P282" s="18">
        <f>DATEVALUE(_xlfn.CONCAT("01/",MONTH(Tb_Data[[#This Row],[Start Date]]),"/",YEAR(Tb_Data[[#This Row],[Start Date]])))</f>
        <v>45627</v>
      </c>
      <c r="Q282" s="8" t="str">
        <f>IF(Tb_Data[[#This Row],[Auto Renewal]]="yes","Auto","Manual")</f>
        <v>Manual</v>
      </c>
    </row>
    <row r="283" spans="1:17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  <c r="N283" s="18" cm="1">
        <f t="array" ref="N28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45992</v>
      </c>
      <c r="O283" s="18">
        <f>IF(Tb_Data[[#This Row],[Expiration_date]]&lt;C̳álculos!$I$6,"",Tb_Data[[#This Row],[Expiration_date]])</f>
        <v>45992</v>
      </c>
      <c r="P283" s="18">
        <f>DATEVALUE(_xlfn.CONCAT("01/",MONTH(Tb_Data[[#This Row],[Start Date]]),"/",YEAR(Tb_Data[[#This Row],[Start Date]])))</f>
        <v>45627</v>
      </c>
      <c r="Q283" s="8" t="str">
        <f>IF(Tb_Data[[#This Row],[Auto Renewal]]="yes","Auto","Manual")</f>
        <v>Auto</v>
      </c>
    </row>
    <row r="284" spans="1:17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  <c r="N284" s="18" cm="1">
        <f t="array" ref="N28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45658</v>
      </c>
      <c r="O284" s="18">
        <f>IF(Tb_Data[[#This Row],[Expiration_date]]&lt;C̳álculos!$I$6,"",Tb_Data[[#This Row],[Expiration_date]])</f>
        <v>45658</v>
      </c>
      <c r="P284" s="18">
        <f>DATEVALUE(_xlfn.CONCAT("01/",MONTH(Tb_Data[[#This Row],[Start Date]]),"/",YEAR(Tb_Data[[#This Row],[Start Date]])))</f>
        <v>45627</v>
      </c>
      <c r="Q284" s="8" t="str">
        <f>IF(Tb_Data[[#This Row],[Auto Renewal]]="yes","Auto","Manual")</f>
        <v>Manual</v>
      </c>
    </row>
    <row r="285" spans="1:17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  <c r="N285" s="18" cm="1">
        <f t="array" ref="N28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45717</v>
      </c>
      <c r="O285" s="18">
        <f>IF(Tb_Data[[#This Row],[Expiration_date]]&lt;C̳álculos!$I$6,"",Tb_Data[[#This Row],[Expiration_date]])</f>
        <v>45717</v>
      </c>
      <c r="P285" s="18">
        <f>DATEVALUE(_xlfn.CONCAT("01/",MONTH(Tb_Data[[#This Row],[Start Date]]),"/",YEAR(Tb_Data[[#This Row],[Start Date]])))</f>
        <v>45627</v>
      </c>
      <c r="Q285" s="8" t="str">
        <f>IF(Tb_Data[[#This Row],[Auto Renewal]]="yes","Auto","Manual")</f>
        <v>Auto</v>
      </c>
    </row>
    <row r="286" spans="1:17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  <c r="N286" s="18" cm="1">
        <f t="array" ref="N28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45658</v>
      </c>
      <c r="O286" s="18">
        <f>IF(Tb_Data[[#This Row],[Expiration_date]]&lt;C̳álculos!$I$6,"",Tb_Data[[#This Row],[Expiration_date]])</f>
        <v>45658</v>
      </c>
      <c r="P286" s="18">
        <f>DATEVALUE(_xlfn.CONCAT("01/",MONTH(Tb_Data[[#This Row],[Start Date]]),"/",YEAR(Tb_Data[[#This Row],[Start Date]])))</f>
        <v>45627</v>
      </c>
      <c r="Q286" s="8" t="str">
        <f>IF(Tb_Data[[#This Row],[Auto Renewal]]="yes","Auto","Manual")</f>
        <v>Manual</v>
      </c>
    </row>
    <row r="287" spans="1:17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  <c r="N287" s="18" cm="1">
        <f t="array" ref="N287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45992</v>
      </c>
      <c r="O287" s="18">
        <f>IF(Tb_Data[[#This Row],[Expiration_date]]&lt;C̳álculos!$I$6,"",Tb_Data[[#This Row],[Expiration_date]])</f>
        <v>45992</v>
      </c>
      <c r="P287" s="18">
        <f>DATEVALUE(_xlfn.CONCAT("01/",MONTH(Tb_Data[[#This Row],[Start Date]]),"/",YEAR(Tb_Data[[#This Row],[Start Date]])))</f>
        <v>45627</v>
      </c>
      <c r="Q287" s="8" t="str">
        <f>IF(Tb_Data[[#This Row],[Auto Renewal]]="yes","Auto","Manual")</f>
        <v>Auto</v>
      </c>
    </row>
    <row r="288" spans="1:17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  <c r="N288" s="18" cm="1">
        <f t="array" ref="N288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45658</v>
      </c>
      <c r="O288" s="18">
        <f>IF(Tb_Data[[#This Row],[Expiration_date]]&lt;C̳álculos!$I$6,"",Tb_Data[[#This Row],[Expiration_date]])</f>
        <v>45658</v>
      </c>
      <c r="P288" s="18">
        <f>DATEVALUE(_xlfn.CONCAT("01/",MONTH(Tb_Data[[#This Row],[Start Date]]),"/",YEAR(Tb_Data[[#This Row],[Start Date]])))</f>
        <v>45627</v>
      </c>
      <c r="Q288" s="8" t="str">
        <f>IF(Tb_Data[[#This Row],[Auto Renewal]]="yes","Auto","Manual")</f>
        <v>Manual</v>
      </c>
    </row>
    <row r="289" spans="1:17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  <c r="N289" s="18" cm="1">
        <f t="array" ref="N289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45717</v>
      </c>
      <c r="O289" s="18">
        <f>IF(Tb_Data[[#This Row],[Expiration_date]]&lt;C̳álculos!$I$6,"",Tb_Data[[#This Row],[Expiration_date]])</f>
        <v>45717</v>
      </c>
      <c r="P289" s="18">
        <f>DATEVALUE(_xlfn.CONCAT("01/",MONTH(Tb_Data[[#This Row],[Start Date]]),"/",YEAR(Tb_Data[[#This Row],[Start Date]])))</f>
        <v>45627</v>
      </c>
      <c r="Q289" s="8" t="str">
        <f>IF(Tb_Data[[#This Row],[Auto Renewal]]="yes","Auto","Manual")</f>
        <v>Auto</v>
      </c>
    </row>
    <row r="290" spans="1:17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  <c r="N290" s="18" cm="1">
        <f t="array" ref="N290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45658</v>
      </c>
      <c r="O290" s="18">
        <f>IF(Tb_Data[[#This Row],[Expiration_date]]&lt;C̳álculos!$I$6,"",Tb_Data[[#This Row],[Expiration_date]])</f>
        <v>45658</v>
      </c>
      <c r="P290" s="18">
        <f>DATEVALUE(_xlfn.CONCAT("01/",MONTH(Tb_Data[[#This Row],[Start Date]]),"/",YEAR(Tb_Data[[#This Row],[Start Date]])))</f>
        <v>45627</v>
      </c>
      <c r="Q290" s="8" t="str">
        <f>IF(Tb_Data[[#This Row],[Auto Renewal]]="yes","Auto","Manual")</f>
        <v>Manual</v>
      </c>
    </row>
    <row r="291" spans="1:17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  <c r="N291" s="18" cm="1">
        <f t="array" ref="N291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45992</v>
      </c>
      <c r="O291" s="18">
        <f>IF(Tb_Data[[#This Row],[Expiration_date]]&lt;C̳álculos!$I$6,"",Tb_Data[[#This Row],[Expiration_date]])</f>
        <v>45992</v>
      </c>
      <c r="P291" s="18">
        <f>DATEVALUE(_xlfn.CONCAT("01/",MONTH(Tb_Data[[#This Row],[Start Date]]),"/",YEAR(Tb_Data[[#This Row],[Start Date]])))</f>
        <v>45627</v>
      </c>
      <c r="Q291" s="8" t="str">
        <f>IF(Tb_Data[[#This Row],[Auto Renewal]]="yes","Auto","Manual")</f>
        <v>Auto</v>
      </c>
    </row>
    <row r="292" spans="1:17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  <c r="N292" s="18" cm="1">
        <f t="array" ref="N292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45658</v>
      </c>
      <c r="O292" s="18">
        <f>IF(Tb_Data[[#This Row],[Expiration_date]]&lt;C̳álculos!$I$6,"",Tb_Data[[#This Row],[Expiration_date]])</f>
        <v>45658</v>
      </c>
      <c r="P292" s="18">
        <f>DATEVALUE(_xlfn.CONCAT("01/",MONTH(Tb_Data[[#This Row],[Start Date]]),"/",YEAR(Tb_Data[[#This Row],[Start Date]])))</f>
        <v>45627</v>
      </c>
      <c r="Q292" s="8" t="str">
        <f>IF(Tb_Data[[#This Row],[Auto Renewal]]="yes","Auto","Manual")</f>
        <v>Manual</v>
      </c>
    </row>
    <row r="293" spans="1:17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  <c r="N293" s="18" cm="1">
        <f t="array" ref="N293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45717</v>
      </c>
      <c r="O293" s="18">
        <f>IF(Tb_Data[[#This Row],[Expiration_date]]&lt;C̳álculos!$I$6,"",Tb_Data[[#This Row],[Expiration_date]])</f>
        <v>45717</v>
      </c>
      <c r="P293" s="18">
        <f>DATEVALUE(_xlfn.CONCAT("01/",MONTH(Tb_Data[[#This Row],[Start Date]]),"/",YEAR(Tb_Data[[#This Row],[Start Date]])))</f>
        <v>45627</v>
      </c>
      <c r="Q293" s="8" t="str">
        <f>IF(Tb_Data[[#This Row],[Auto Renewal]]="yes","Auto","Manual")</f>
        <v>Auto</v>
      </c>
    </row>
    <row r="294" spans="1:17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  <c r="N294" s="18" cm="1">
        <f t="array" ref="N294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45658</v>
      </c>
      <c r="O294" s="18">
        <f>IF(Tb_Data[[#This Row],[Expiration_date]]&lt;C̳álculos!$I$6,"",Tb_Data[[#This Row],[Expiration_date]])</f>
        <v>45658</v>
      </c>
      <c r="P294" s="18">
        <f>DATEVALUE(_xlfn.CONCAT("01/",MONTH(Tb_Data[[#This Row],[Start Date]]),"/",YEAR(Tb_Data[[#This Row],[Start Date]])))</f>
        <v>45627</v>
      </c>
      <c r="Q294" s="8" t="str">
        <f>IF(Tb_Data[[#This Row],[Auto Renewal]]="yes","Auto","Manual")</f>
        <v>Manual</v>
      </c>
    </row>
    <row r="295" spans="1:17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  <c r="N295" s="18" cm="1">
        <f t="array" ref="N295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45992</v>
      </c>
      <c r="O295" s="18">
        <f>IF(Tb_Data[[#This Row],[Expiration_date]]&lt;C̳álculos!$I$6,"",Tb_Data[[#This Row],[Expiration_date]])</f>
        <v>45992</v>
      </c>
      <c r="P295" s="18">
        <f>DATEVALUE(_xlfn.CONCAT("01/",MONTH(Tb_Data[[#This Row],[Start Date]]),"/",YEAR(Tb_Data[[#This Row],[Start Date]])))</f>
        <v>45627</v>
      </c>
      <c r="Q295" s="8" t="str">
        <f>IF(Tb_Data[[#This Row],[Auto Renewal]]="yes","Auto","Manual")</f>
        <v>Auto</v>
      </c>
    </row>
    <row r="296" spans="1:17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  <c r="N296" s="18" cm="1">
        <f t="array" ref="N296">DATEVALUE(_xlfn.CONCAT("01/",
MONTH(EDATE(Tb_Data[[#This Row],[Start Date]],_xlfn.IFS(Tb_Data[[#This Row],[Subscription Type]]="Monthly",1,Tb_Data[[#This Row],[Subscription Type]]="Annual",12,Tb_Data[[#This Row],[Subscription Type]]="Quarterly",3))),"/",
YEAR(EDATE(Tb_Data[[#This Row],[Start Date]],_xlfn.IFS(Tb_Data[[#This Row],[Subscription Type]]="Monthly",1,Tb_Data[[#This Row],[Subscription Type]]="Annual",12,Tb_Data[[#This Row],[Subscription Type]]="Quarterly",3)))))</f>
        <v>45658</v>
      </c>
      <c r="O296" s="18">
        <f>IF(Tb_Data[[#This Row],[Expiration_date]]&lt;C̳álculos!$I$6,"",Tb_Data[[#This Row],[Expiration_date]])</f>
        <v>45658</v>
      </c>
      <c r="P296" s="18">
        <f>DATEVALUE(_xlfn.CONCAT("01/",MONTH(Tb_Data[[#This Row],[Start Date]]),"/",YEAR(Tb_Data[[#This Row],[Start Date]])))</f>
        <v>45627</v>
      </c>
      <c r="Q296" s="8" t="str">
        <f>IF(Tb_Data[[#This Row],[Auto Renewal]]="yes","Auto","Manual")</f>
        <v>Manual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U23"/>
  <sheetViews>
    <sheetView topLeftCell="N4" workbookViewId="0">
      <selection activeCell="R12" sqref="R12"/>
    </sheetView>
  </sheetViews>
  <sheetFormatPr defaultRowHeight="15" x14ac:dyDescent="0.25"/>
  <cols>
    <col min="2" max="2" width="18.42578125" bestFit="1" customWidth="1"/>
    <col min="3" max="4" width="26.140625" bestFit="1" customWidth="1"/>
    <col min="5" max="5" width="26.140625" customWidth="1"/>
    <col min="6" max="6" width="18.42578125" bestFit="1" customWidth="1"/>
    <col min="7" max="7" width="11.140625" bestFit="1" customWidth="1"/>
    <col min="8" max="8" width="5" customWidth="1"/>
    <col min="9" max="9" width="18.42578125" bestFit="1" customWidth="1"/>
    <col min="10" max="10" width="11.140625" bestFit="1" customWidth="1"/>
    <col min="11" max="11" width="8.28515625" customWidth="1"/>
    <col min="12" max="12" width="18.42578125" bestFit="1" customWidth="1"/>
    <col min="13" max="13" width="19.28515625" bestFit="1" customWidth="1"/>
    <col min="14" max="14" width="9.7109375" bestFit="1" customWidth="1"/>
    <col min="15" max="15" width="18.42578125" bestFit="1" customWidth="1"/>
    <col min="16" max="16" width="27.7109375" bestFit="1" customWidth="1"/>
    <col min="17" max="17" width="12.140625" bestFit="1" customWidth="1"/>
    <col min="18" max="18" width="18.42578125" bestFit="1" customWidth="1"/>
    <col min="19" max="19" width="35.140625" bestFit="1" customWidth="1"/>
    <col min="21" max="21" width="22.140625" bestFit="1" customWidth="1"/>
  </cols>
  <sheetData>
    <row r="3" spans="2:21" x14ac:dyDescent="0.25">
      <c r="B3" t="s">
        <v>313</v>
      </c>
    </row>
    <row r="6" spans="2:21" x14ac:dyDescent="0.25">
      <c r="I6" s="20">
        <f>EOMONTH(D̳ashboard!B5,-1)+1</f>
        <v>45627</v>
      </c>
    </row>
    <row r="9" spans="2:21" x14ac:dyDescent="0.25">
      <c r="B9" s="12" t="s">
        <v>314</v>
      </c>
      <c r="C9" t="s">
        <v>330</v>
      </c>
      <c r="F9" s="12" t="s">
        <v>314</v>
      </c>
      <c r="G9" t="s">
        <v>321</v>
      </c>
      <c r="I9" s="12" t="s">
        <v>314</v>
      </c>
      <c r="J9" t="s">
        <v>321</v>
      </c>
      <c r="L9" s="12" t="s">
        <v>314</v>
      </c>
      <c r="M9" t="s">
        <v>328</v>
      </c>
      <c r="O9" s="12" t="s">
        <v>314</v>
      </c>
      <c r="P9" t="s">
        <v>332</v>
      </c>
      <c r="R9" s="12" t="s">
        <v>314</v>
      </c>
      <c r="S9" t="s">
        <v>333</v>
      </c>
      <c r="U9" t="s">
        <v>334</v>
      </c>
    </row>
    <row r="10" spans="2:21" x14ac:dyDescent="0.25">
      <c r="B10" s="13" t="s">
        <v>22</v>
      </c>
      <c r="C10" s="21">
        <v>505</v>
      </c>
      <c r="E10" s="21"/>
      <c r="F10" s="17">
        <v>45292</v>
      </c>
      <c r="G10">
        <v>2</v>
      </c>
      <c r="I10" s="17">
        <v>45627</v>
      </c>
      <c r="J10">
        <v>23</v>
      </c>
      <c r="L10" s="13" t="s">
        <v>22</v>
      </c>
      <c r="M10" s="21">
        <v>444</v>
      </c>
      <c r="O10" s="13" t="s">
        <v>23</v>
      </c>
      <c r="P10">
        <v>0</v>
      </c>
      <c r="R10" s="13" t="s">
        <v>23</v>
      </c>
      <c r="S10" s="21">
        <v>0</v>
      </c>
      <c r="U10" s="21">
        <v>2122</v>
      </c>
    </row>
    <row r="11" spans="2:21" x14ac:dyDescent="0.25">
      <c r="B11" s="13" t="s">
        <v>26</v>
      </c>
      <c r="C11" s="21">
        <v>960</v>
      </c>
      <c r="E11" s="21"/>
      <c r="F11" s="17">
        <v>45323</v>
      </c>
      <c r="G11">
        <v>2</v>
      </c>
      <c r="I11" s="17">
        <v>45658</v>
      </c>
      <c r="J11">
        <v>16</v>
      </c>
      <c r="L11" s="13" t="s">
        <v>26</v>
      </c>
      <c r="M11" s="21">
        <v>1801</v>
      </c>
      <c r="O11" s="13" t="s">
        <v>19</v>
      </c>
      <c r="P11">
        <v>2940</v>
      </c>
      <c r="R11" s="13" t="s">
        <v>19</v>
      </c>
      <c r="S11" s="21">
        <v>3880</v>
      </c>
    </row>
    <row r="12" spans="2:21" x14ac:dyDescent="0.25">
      <c r="B12" s="13" t="s">
        <v>18</v>
      </c>
      <c r="C12" s="21">
        <v>1470</v>
      </c>
      <c r="E12" s="21"/>
      <c r="F12" s="17">
        <v>45352</v>
      </c>
      <c r="G12">
        <v>31</v>
      </c>
      <c r="I12" s="17">
        <v>45689</v>
      </c>
      <c r="J12">
        <v>9</v>
      </c>
      <c r="L12" s="13" t="s">
        <v>18</v>
      </c>
      <c r="M12" s="21">
        <v>5388</v>
      </c>
      <c r="O12" s="13" t="s">
        <v>315</v>
      </c>
      <c r="P12">
        <v>2940</v>
      </c>
      <c r="R12" s="13" t="s">
        <v>315</v>
      </c>
      <c r="S12" s="21">
        <v>3880</v>
      </c>
    </row>
    <row r="13" spans="2:21" x14ac:dyDescent="0.25">
      <c r="B13" s="13" t="s">
        <v>315</v>
      </c>
      <c r="C13" s="21">
        <v>2935</v>
      </c>
      <c r="E13" s="21"/>
      <c r="F13" s="17">
        <v>45383</v>
      </c>
      <c r="G13">
        <v>30</v>
      </c>
      <c r="I13" s="17">
        <v>45717</v>
      </c>
      <c r="J13">
        <v>11</v>
      </c>
      <c r="L13" s="13" t="s">
        <v>315</v>
      </c>
      <c r="M13" s="21">
        <v>7633</v>
      </c>
    </row>
    <row r="14" spans="2:21" x14ac:dyDescent="0.25">
      <c r="F14" s="17">
        <v>45413</v>
      </c>
      <c r="G14">
        <v>31</v>
      </c>
      <c r="I14" s="17">
        <v>45748</v>
      </c>
      <c r="J14">
        <v>7</v>
      </c>
    </row>
    <row r="15" spans="2:21" x14ac:dyDescent="0.25">
      <c r="F15" s="17">
        <v>45444</v>
      </c>
      <c r="G15">
        <v>30</v>
      </c>
      <c r="I15" s="17">
        <v>45778</v>
      </c>
      <c r="J15">
        <v>8</v>
      </c>
    </row>
    <row r="16" spans="2:21" x14ac:dyDescent="0.25">
      <c r="F16" s="17">
        <v>45474</v>
      </c>
      <c r="G16">
        <v>31</v>
      </c>
      <c r="I16" s="17">
        <v>45809</v>
      </c>
      <c r="J16">
        <v>7</v>
      </c>
    </row>
    <row r="17" spans="2:10" x14ac:dyDescent="0.25">
      <c r="F17" s="17">
        <v>45505</v>
      </c>
      <c r="G17">
        <v>31</v>
      </c>
      <c r="I17" s="17">
        <v>45839</v>
      </c>
      <c r="J17">
        <v>7</v>
      </c>
    </row>
    <row r="18" spans="2:10" x14ac:dyDescent="0.25">
      <c r="B18" s="12" t="s">
        <v>314</v>
      </c>
      <c r="C18" t="s">
        <v>316</v>
      </c>
      <c r="F18" s="17">
        <v>45536</v>
      </c>
      <c r="G18">
        <v>30</v>
      </c>
      <c r="I18" s="17">
        <v>45870</v>
      </c>
      <c r="J18">
        <v>8</v>
      </c>
    </row>
    <row r="19" spans="2:10" x14ac:dyDescent="0.25">
      <c r="B19" s="13" t="s">
        <v>22</v>
      </c>
      <c r="C19">
        <v>101</v>
      </c>
      <c r="F19" s="17">
        <v>45566</v>
      </c>
      <c r="G19">
        <v>31</v>
      </c>
      <c r="I19" s="17">
        <v>45901</v>
      </c>
      <c r="J19">
        <v>7</v>
      </c>
    </row>
    <row r="20" spans="2:10" x14ac:dyDescent="0.25">
      <c r="B20" s="13" t="s">
        <v>26</v>
      </c>
      <c r="C20">
        <v>96</v>
      </c>
      <c r="F20" s="17">
        <v>45597</v>
      </c>
      <c r="G20">
        <v>30</v>
      </c>
      <c r="I20" s="17">
        <v>45931</v>
      </c>
      <c r="J20">
        <v>8</v>
      </c>
    </row>
    <row r="21" spans="2:10" x14ac:dyDescent="0.25">
      <c r="B21" s="13" t="s">
        <v>18</v>
      </c>
      <c r="C21">
        <v>98</v>
      </c>
      <c r="F21" s="17">
        <v>45627</v>
      </c>
      <c r="G21">
        <v>16</v>
      </c>
      <c r="I21" s="17">
        <v>45962</v>
      </c>
      <c r="J21">
        <v>7</v>
      </c>
    </row>
    <row r="22" spans="2:10" x14ac:dyDescent="0.25">
      <c r="B22" s="13" t="s">
        <v>315</v>
      </c>
      <c r="C22">
        <v>295</v>
      </c>
      <c r="F22" s="17" t="s">
        <v>315</v>
      </c>
      <c r="G22">
        <v>295</v>
      </c>
      <c r="I22" s="17">
        <v>45992</v>
      </c>
      <c r="J22">
        <v>4</v>
      </c>
    </row>
    <row r="23" spans="2:10" x14ac:dyDescent="0.25">
      <c r="I23" s="17" t="s">
        <v>315</v>
      </c>
      <c r="J23">
        <v>122</v>
      </c>
    </row>
  </sheetData>
  <pageMargins left="0.511811024" right="0.511811024" top="0.78740157499999996" bottom="0.78740157499999996" header="0.31496062000000002" footer="0.31496062000000002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X38"/>
  <sheetViews>
    <sheetView showGridLines="0" showRowColHeaders="0" tabSelected="1" zoomScale="85" zoomScaleNormal="85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 x14ac:dyDescent="0.25"/>
  <cols>
    <col min="1" max="1" width="2.42578125" style="14" customWidth="1"/>
    <col min="2" max="2" width="26.7109375" style="14" customWidth="1"/>
    <col min="3" max="3" width="2.85546875" style="14" customWidth="1"/>
    <col min="4" max="4" width="1.5703125" customWidth="1"/>
    <col min="5" max="5" width="3.7109375" style="22" customWidth="1"/>
    <col min="6" max="8" width="9.5703125" style="22" customWidth="1"/>
    <col min="9" max="9" width="3.7109375" style="22" customWidth="1"/>
    <col min="10" max="10" width="9.5703125" style="22" customWidth="1"/>
    <col min="11" max="11" width="7.140625" style="22" customWidth="1"/>
    <col min="12" max="12" width="3" style="22" customWidth="1"/>
    <col min="13" max="13" width="9.5703125" style="22" customWidth="1"/>
    <col min="14" max="14" width="3.7109375" style="22" customWidth="1"/>
    <col min="15" max="17" width="9.5703125" style="22" customWidth="1"/>
    <col min="18" max="18" width="3.7109375" style="22" customWidth="1"/>
    <col min="19" max="21" width="9.5703125" style="22" customWidth="1"/>
    <col min="22" max="22" width="3.7109375" style="22" customWidth="1"/>
    <col min="23" max="23" width="1.5703125" customWidth="1"/>
    <col min="24" max="24" width="0" hidden="1" customWidth="1"/>
    <col min="25" max="16384" width="8.7109375" hidden="1"/>
  </cols>
  <sheetData>
    <row r="1" spans="2:22" x14ac:dyDescent="0.25">
      <c r="E1" s="14"/>
      <c r="F1" s="28" t="s">
        <v>339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14"/>
    </row>
    <row r="2" spans="2:22" x14ac:dyDescent="0.25">
      <c r="E2" s="14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14"/>
    </row>
    <row r="3" spans="2:22" x14ac:dyDescent="0.25">
      <c r="E3" s="14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14"/>
    </row>
    <row r="4" spans="2:22" ht="5.25" customHeight="1" x14ac:dyDescent="0.25"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</row>
    <row r="5" spans="2:22" ht="15" customHeight="1" x14ac:dyDescent="0.3">
      <c r="B5" s="25">
        <v>45651</v>
      </c>
    </row>
    <row r="6" spans="2:22" ht="15" customHeight="1" x14ac:dyDescent="0.25"/>
    <row r="7" spans="2:22" x14ac:dyDescent="0.25">
      <c r="F7" s="27" t="s">
        <v>329</v>
      </c>
      <c r="G7" s="27"/>
      <c r="H7" s="27"/>
      <c r="J7" s="30" t="s">
        <v>309</v>
      </c>
      <c r="K7" s="30"/>
      <c r="L7" s="30"/>
      <c r="M7" s="30"/>
      <c r="O7" s="27" t="s">
        <v>30</v>
      </c>
      <c r="P7" s="27"/>
      <c r="Q7" s="27"/>
      <c r="S7" s="27" t="s">
        <v>335</v>
      </c>
      <c r="T7" s="27"/>
      <c r="U7" s="27"/>
    </row>
    <row r="8" spans="2:22" x14ac:dyDescent="0.25">
      <c r="F8" s="29">
        <f>GETPIVOTDATA("Total Value",C̳álculos!$L$9)</f>
        <v>7633</v>
      </c>
      <c r="G8" s="29"/>
      <c r="H8" s="29"/>
      <c r="I8" s="24"/>
      <c r="J8" s="29">
        <f>GETPIVOTDATA("EA Play Season Pass
Price",C̳álculos!$O$9)</f>
        <v>2940</v>
      </c>
      <c r="K8" s="29"/>
      <c r="L8" s="29"/>
      <c r="M8" s="29"/>
      <c r="O8" s="29">
        <f>GETPIVOTDATA("Minecraft Season Pass Price",C̳álculos!$R$9)</f>
        <v>3880</v>
      </c>
      <c r="P8" s="29"/>
      <c r="Q8" s="29"/>
      <c r="S8" s="29">
        <f>-GETPIVOTDATA("Coupon Value",C̳álculos!$U$9)</f>
        <v>-2122</v>
      </c>
      <c r="T8" s="29"/>
      <c r="U8" s="29"/>
    </row>
    <row r="9" spans="2:22" x14ac:dyDescent="0.25">
      <c r="F9" s="29"/>
      <c r="G9" s="29"/>
      <c r="H9" s="29"/>
      <c r="I9" s="24"/>
      <c r="J9" s="29"/>
      <c r="K9" s="29"/>
      <c r="L9" s="29"/>
      <c r="M9" s="29"/>
      <c r="O9" s="29"/>
      <c r="P9" s="29"/>
      <c r="Q9" s="29"/>
      <c r="S9" s="29"/>
      <c r="T9" s="29"/>
      <c r="U9" s="29"/>
    </row>
    <row r="10" spans="2:22" x14ac:dyDescent="0.25"/>
    <row r="11" spans="2:22" ht="16.5" x14ac:dyDescent="0.3">
      <c r="F11" s="27" t="s">
        <v>16</v>
      </c>
      <c r="G11" s="27"/>
      <c r="H11" s="27"/>
      <c r="I11" s="27"/>
      <c r="J11" s="27"/>
      <c r="K11" s="27"/>
      <c r="M11" s="27" t="s">
        <v>336</v>
      </c>
      <c r="N11" s="27"/>
      <c r="O11" s="27"/>
      <c r="P11" s="27"/>
      <c r="Q11" s="27"/>
      <c r="R11" s="27"/>
      <c r="S11" s="27"/>
      <c r="T11" s="27"/>
      <c r="U11" s="27"/>
    </row>
    <row r="12" spans="2:22" x14ac:dyDescent="0.25">
      <c r="F12" s="26"/>
      <c r="G12" s="26"/>
      <c r="H12" s="26"/>
      <c r="I12" s="26"/>
      <c r="J12" s="26"/>
      <c r="K12" s="26"/>
      <c r="M12" s="26"/>
      <c r="N12" s="26"/>
      <c r="O12" s="26"/>
      <c r="P12" s="26"/>
      <c r="Q12" s="26"/>
      <c r="R12" s="26"/>
      <c r="S12" s="26"/>
      <c r="T12" s="26"/>
      <c r="U12" s="26"/>
    </row>
    <row r="13" spans="2:22" x14ac:dyDescent="0.25">
      <c r="F13" s="26"/>
      <c r="G13" s="26"/>
      <c r="H13" s="26"/>
      <c r="I13" s="26"/>
      <c r="J13" s="26"/>
      <c r="K13" s="26"/>
      <c r="M13" s="26"/>
      <c r="N13" s="26"/>
      <c r="O13" s="26"/>
      <c r="P13" s="26"/>
      <c r="Q13" s="26"/>
      <c r="R13" s="26"/>
      <c r="S13" s="26"/>
      <c r="T13" s="26"/>
      <c r="U13" s="26"/>
    </row>
    <row r="14" spans="2:22" x14ac:dyDescent="0.25">
      <c r="F14" s="26"/>
      <c r="G14" s="26"/>
      <c r="H14" s="26"/>
      <c r="I14" s="26"/>
      <c r="J14" s="26"/>
      <c r="K14" s="26"/>
      <c r="M14" s="26"/>
      <c r="N14" s="26"/>
      <c r="O14" s="26"/>
      <c r="P14" s="26"/>
      <c r="Q14" s="26"/>
      <c r="R14" s="26"/>
      <c r="S14" s="26"/>
      <c r="T14" s="26"/>
      <c r="U14" s="26"/>
    </row>
    <row r="15" spans="2:22" x14ac:dyDescent="0.25">
      <c r="F15" s="26"/>
      <c r="G15" s="26"/>
      <c r="H15" s="26"/>
      <c r="I15" s="26"/>
      <c r="J15" s="26"/>
      <c r="K15" s="26"/>
      <c r="M15" s="26"/>
      <c r="N15" s="26"/>
      <c r="O15" s="26"/>
      <c r="P15" s="26"/>
      <c r="Q15" s="26"/>
      <c r="R15" s="26"/>
      <c r="S15" s="26"/>
      <c r="T15" s="26"/>
      <c r="U15" s="26"/>
    </row>
    <row r="16" spans="2:22" x14ac:dyDescent="0.25">
      <c r="F16" s="26"/>
      <c r="G16" s="26"/>
      <c r="H16" s="26"/>
      <c r="I16" s="26"/>
      <c r="J16" s="26"/>
      <c r="K16" s="26"/>
      <c r="M16" s="26"/>
      <c r="N16" s="26"/>
      <c r="O16" s="26"/>
      <c r="P16" s="26"/>
      <c r="Q16" s="26"/>
      <c r="R16" s="26"/>
      <c r="S16" s="26"/>
      <c r="T16" s="26"/>
      <c r="U16" s="26"/>
    </row>
    <row r="17" spans="6:21" x14ac:dyDescent="0.25">
      <c r="F17" s="26"/>
      <c r="G17" s="26"/>
      <c r="H17" s="26"/>
      <c r="I17" s="26"/>
      <c r="J17" s="26"/>
      <c r="K17" s="26"/>
      <c r="M17" s="26"/>
      <c r="N17" s="26"/>
      <c r="O17" s="26"/>
      <c r="P17" s="26"/>
      <c r="Q17" s="26"/>
      <c r="R17" s="26"/>
      <c r="S17" s="26"/>
      <c r="T17" s="26"/>
      <c r="U17" s="26"/>
    </row>
    <row r="18" spans="6:21" x14ac:dyDescent="0.25">
      <c r="F18" s="26"/>
      <c r="G18" s="26"/>
      <c r="H18" s="26"/>
      <c r="I18" s="26"/>
      <c r="J18" s="26"/>
      <c r="K18" s="26"/>
      <c r="M18" s="26"/>
      <c r="N18" s="26"/>
      <c r="O18" s="26"/>
      <c r="P18" s="26"/>
      <c r="Q18" s="26"/>
      <c r="R18" s="26"/>
      <c r="S18" s="26"/>
      <c r="T18" s="26"/>
      <c r="U18" s="26"/>
    </row>
    <row r="19" spans="6:21" x14ac:dyDescent="0.25">
      <c r="F19" s="26"/>
      <c r="G19" s="26"/>
      <c r="H19" s="26"/>
      <c r="I19" s="26"/>
      <c r="J19" s="26"/>
      <c r="K19" s="26"/>
      <c r="M19" s="26"/>
      <c r="N19" s="26"/>
      <c r="O19" s="26"/>
      <c r="P19" s="26"/>
      <c r="Q19" s="26"/>
      <c r="R19" s="26"/>
      <c r="S19" s="26"/>
      <c r="T19" s="26"/>
      <c r="U19" s="26"/>
    </row>
    <row r="20" spans="6:21" x14ac:dyDescent="0.25">
      <c r="F20" s="26"/>
      <c r="G20" s="26"/>
      <c r="H20" s="26"/>
      <c r="I20" s="26"/>
      <c r="J20" s="26"/>
      <c r="K20" s="26"/>
      <c r="M20" s="26"/>
      <c r="N20" s="26"/>
      <c r="O20" s="26"/>
      <c r="P20" s="26"/>
      <c r="Q20" s="26"/>
      <c r="R20" s="26"/>
      <c r="S20" s="26"/>
      <c r="T20" s="26"/>
      <c r="U20" s="26"/>
    </row>
    <row r="21" spans="6:21" x14ac:dyDescent="0.25">
      <c r="F21" s="26"/>
      <c r="G21" s="26"/>
      <c r="H21" s="26"/>
      <c r="I21" s="26"/>
      <c r="J21" s="26"/>
      <c r="K21" s="26"/>
      <c r="M21" s="26"/>
      <c r="N21" s="26"/>
      <c r="O21" s="26"/>
      <c r="P21" s="26"/>
      <c r="Q21" s="26"/>
      <c r="R21" s="26"/>
      <c r="S21" s="26"/>
      <c r="T21" s="26"/>
      <c r="U21" s="26"/>
    </row>
    <row r="22" spans="6:21" x14ac:dyDescent="0.25">
      <c r="F22" s="26"/>
      <c r="G22" s="26"/>
      <c r="H22" s="26"/>
      <c r="I22" s="26"/>
      <c r="J22" s="26"/>
      <c r="K22" s="26"/>
      <c r="M22" s="26"/>
      <c r="N22" s="26"/>
      <c r="O22" s="26"/>
      <c r="P22" s="26"/>
      <c r="Q22" s="26"/>
      <c r="R22" s="26"/>
      <c r="S22" s="26"/>
      <c r="T22" s="26"/>
      <c r="U22" s="26"/>
    </row>
    <row r="23" spans="6:21" x14ac:dyDescent="0.25"/>
    <row r="24" spans="6:21" ht="16.5" x14ac:dyDescent="0.3">
      <c r="F24" s="27" t="s">
        <v>337</v>
      </c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</row>
    <row r="25" spans="6:21" x14ac:dyDescent="0.25"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6:21" x14ac:dyDescent="0.25"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6:21" x14ac:dyDescent="0.25"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6:21" x14ac:dyDescent="0.25"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6:21" x14ac:dyDescent="0.25"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6:21" x14ac:dyDescent="0.25"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6:21" x14ac:dyDescent="0.25"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6:21" x14ac:dyDescent="0.25"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2:22" x14ac:dyDescent="0.25"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2:22" ht="16.5" x14ac:dyDescent="0.3">
      <c r="B34" s="25" t="s">
        <v>340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2:22" ht="16.5" x14ac:dyDescent="0.3">
      <c r="B35" s="25" t="str">
        <f>_xlfn.CONCAT(TEXT(MIN(Tb_Data[Start Date]),"dd/mm/aaa")," to ",TEXT(MAX(Tb_Data[Start Date]),"dd/mm/aaa"))</f>
        <v>01/01/2024 to 16/12/2024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2:22" ht="12.75" customHeight="1" x14ac:dyDescent="0.25"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2:22" ht="8.25" customHeight="1" x14ac:dyDescent="0.25"/>
    <row r="38" spans="2:22" ht="4.5" customHeight="1" x14ac:dyDescent="0.25"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</sheetData>
  <mergeCells count="12">
    <mergeCell ref="F24:U24"/>
    <mergeCell ref="F1:U3"/>
    <mergeCell ref="S7:U7"/>
    <mergeCell ref="S8:U9"/>
    <mergeCell ref="F11:K11"/>
    <mergeCell ref="M11:U11"/>
    <mergeCell ref="J8:M9"/>
    <mergeCell ref="F8:H9"/>
    <mergeCell ref="O8:Q9"/>
    <mergeCell ref="F7:H7"/>
    <mergeCell ref="J7:M7"/>
    <mergeCell ref="O7:Q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Carlos</cp:lastModifiedBy>
  <dcterms:created xsi:type="dcterms:W3CDTF">2024-12-19T13:13:10Z</dcterms:created>
  <dcterms:modified xsi:type="dcterms:W3CDTF">2025-12-14T11:28:16Z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